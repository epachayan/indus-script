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ckay 1938 (50)" sheetId="2" state="visible" r:id="rId2"/>
    <sheet xmlns:r="http://schemas.openxmlformats.org/officeDocument/2006/relationships" name="Marshall 1931 (50)" sheetId="3" state="visible" r:id="rId3"/>
    <sheet xmlns:r="http://schemas.openxmlformats.org/officeDocument/2006/relationships" name="Plate codings (30)"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sz val="14"/>
    </font>
    <font>
      <b val="1"/>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2" borderId="0" pivotButton="0" quotePrefix="0" xfId="0"/>
    <xf numFmtId="164" fontId="0" fillId="0" borderId="0" pivotButton="0" quotePrefix="0" xfId="0"/>
    <xf numFmtId="0" fontId="3" fillId="0" borderId="0" pivotButton="0" quotePrefix="0" xfId="0"/>
    <xf numFmtId="0" fontId="1" fillId="2" borderId="0" applyAlignment="1" pivotButton="0" quotePrefix="0" xfId="0">
      <alignment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12" customWidth="1" min="2" max="2"/>
    <col width="10" customWidth="1" min="3" max="3"/>
    <col width="10" customWidth="1" min="4" max="4"/>
    <col width="20" customWidth="1" min="5" max="5"/>
    <col width="16" customWidth="1" min="6" max="6"/>
  </cols>
  <sheetData>
    <row r="1">
      <c r="A1" s="1" t="inlineStr">
        <is>
          <t>Spot-check of AI transcriptions against the scans</t>
        </is>
      </c>
    </row>
    <row r="2">
      <c r="A2" t="inlineStr">
        <is>
          <t>Random sample, seed 20261010 (Python random.Random). Re-running make_sheet.py reproduces the same rows.</t>
        </is>
      </c>
    </row>
    <row r="3">
      <c r="A3" t="inlineStr">
        <is>
          <t>Mark each row Y if every field matches the printed page, N otherwise; note the wrong field and the printed value.</t>
        </is>
      </c>
    </row>
    <row r="5">
      <c r="A5" s="2" t="inlineStr">
        <is>
          <t>Set</t>
        </is>
      </c>
      <c r="B5" s="2" t="inlineStr">
        <is>
          <t>Population</t>
        </is>
      </c>
      <c r="C5" s="2" t="inlineStr">
        <is>
          <t>Sampled</t>
        </is>
      </c>
      <c r="D5" s="2" t="inlineStr">
        <is>
          <t>Checked</t>
        </is>
      </c>
      <c r="E5" s="2" t="inlineStr">
        <is>
          <t>Errors (rows with N)</t>
        </is>
      </c>
      <c r="F5" s="2" t="inlineStr">
        <is>
          <t>Row error rate</t>
        </is>
      </c>
    </row>
    <row r="6">
      <c r="A6" t="inlineStr">
        <is>
          <t>Mackay 1938 (50)</t>
        </is>
      </c>
      <c r="B6" t="n">
        <v>709</v>
      </c>
      <c r="C6" t="n">
        <v>50</v>
      </c>
      <c r="D6">
        <f>COUNTIF('Mackay 1938 (50)'!N:N,"Y")+COUNTIF('Mackay 1938 (50)'!N:N,"N")</f>
        <v/>
      </c>
      <c r="E6">
        <f>COUNTIF('Mackay 1938 (50)'!N:N,"N")</f>
        <v/>
      </c>
      <c r="F6" s="3">
        <f>IF(D6=0,"",E6/D6)</f>
        <v/>
      </c>
    </row>
    <row r="7">
      <c r="A7" t="inlineStr">
        <is>
          <t>Marshall 1931 (50)</t>
        </is>
      </c>
      <c r="B7" t="n">
        <v>560</v>
      </c>
      <c r="C7" t="n">
        <v>50</v>
      </c>
      <c r="D7">
        <f>COUNTIF('Marshall 1931 (50)'!M:M,"Y")+COUNTIF('Marshall 1931 (50)'!M:M,"N")</f>
        <v/>
      </c>
      <c r="E7">
        <f>COUNTIF('Marshall 1931 (50)'!M:M,"N")</f>
        <v/>
      </c>
      <c r="F7" s="3">
        <f>IF(D7=0,"",E7/D7)</f>
        <v/>
      </c>
    </row>
    <row r="8">
      <c r="A8" t="inlineStr">
        <is>
          <t>Plate codings (30)</t>
        </is>
      </c>
      <c r="B8" t="n">
        <v>531</v>
      </c>
      <c r="C8" t="n">
        <v>30</v>
      </c>
      <c r="D8">
        <f>COUNTIF('Plate codings (30)'!K:K,"Y")+COUNTIF('Plate codings (30)'!K:K,"N")</f>
        <v/>
      </c>
      <c r="E8">
        <f>COUNTIF('Plate codings (30)'!K:K,"N")</f>
        <v/>
      </c>
      <c r="F8" s="3">
        <f>IF(D8=0,"",E8/D8)</f>
        <v/>
      </c>
    </row>
    <row r="10">
      <c r="A10" t="inlineStr">
        <is>
          <t>Notes</t>
        </is>
      </c>
    </row>
    <row r="11">
      <c r="A11" s="4" t="n"/>
    </row>
    <row r="12">
      <c r="A12" t="inlineStr">
        <is>
          <t>Mackay: printed page = scan page + 324 (TVA_BOK_0009130, ch. XI "Tabulation of Seals"). Ditto marks were resolved to the value above.</t>
        </is>
      </c>
    </row>
    <row r="13">
      <c r="A13" t="inlineStr">
        <is>
          <t>Marshall: archive.org in.ernet.dli.2015.107493, pp. 402-405; PDF page = printed page - 346. level_ft/level_in = depth below surface.</t>
        </is>
      </c>
    </row>
    <row r="14">
      <c r="A14" t="inlineStr">
        <is>
          <t>Plates: Mackay vol. II, full-resolution IIIF scans (in.gov.ignca.9954). Check sign count and jar ending first; those are what the analysis uses.</t>
        </is>
      </c>
    </row>
    <row r="15">
      <c r="A15" t="inlineStr">
        <is>
          <t>A row counts as an error if any field is wrong. Also note anything the transcription missed entirely.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8" customWidth="1" min="3" max="3"/>
    <col width="8" customWidth="1" min="4" max="4"/>
    <col width="8" customWidth="1" min="5" max="5"/>
    <col width="16" customWidth="1" min="6" max="6"/>
    <col width="28" customWidth="1" min="7" max="7"/>
    <col width="8" customWidth="1" min="8" max="8"/>
    <col width="8" customWidth="1" min="9" max="9"/>
    <col width="8" customWidth="1" min="10" max="10"/>
    <col width="24" customWidth="1" min="11" max="11"/>
    <col width="10" customWidth="1" min="12" max="12"/>
    <col width="10" customWidth="1" min="13" max="13"/>
    <col width="20" customWidth="1" min="14" max="14"/>
    <col width="16" customWidth="1" min="15" max="15"/>
    <col width="26" customWidth="1" min="16" max="16"/>
  </cols>
  <sheetData>
    <row r="1">
      <c r="A1" s="5" t="inlineStr">
        <is>
          <t>#</t>
        </is>
      </c>
      <c r="B1" s="5" t="inlineStr">
        <is>
          <t>Printed page</t>
        </is>
      </c>
      <c r="C1" s="5" t="inlineStr">
        <is>
          <t>Scan page (chapter XI extract)</t>
        </is>
      </c>
      <c r="D1" s="5" t="inlineStr">
        <is>
          <t>no</t>
        </is>
      </c>
      <c r="E1" s="5" t="inlineStr">
        <is>
          <t>type</t>
        </is>
      </c>
      <c r="F1" s="5" t="inlineStr">
        <is>
          <t>dims_in</t>
        </is>
      </c>
      <c r="G1" s="5" t="inlineStr">
        <is>
          <t>material</t>
        </is>
      </c>
      <c r="H1" s="5" t="inlineStr">
        <is>
          <t>block</t>
        </is>
      </c>
      <c r="I1" s="5" t="inlineStr">
        <is>
          <t>house</t>
        </is>
      </c>
      <c r="J1" s="5" t="inlineStr">
        <is>
          <t>room</t>
        </is>
      </c>
      <c r="K1" s="5" t="inlineStr">
        <is>
          <t>street</t>
        </is>
      </c>
      <c r="L1" s="5" t="inlineStr">
        <is>
          <t>level_ft</t>
        </is>
      </c>
      <c r="M1" s="5" t="inlineStr">
        <is>
          <t>field_no</t>
        </is>
      </c>
      <c r="N1" s="5" t="inlineStr">
        <is>
          <t>Row correct? (Y/N)</t>
        </is>
      </c>
      <c r="O1" s="5" t="inlineStr">
        <is>
          <t>Wrong field(s)</t>
        </is>
      </c>
      <c r="P1" s="5" t="inlineStr">
        <is>
          <t>Correct value as printed</t>
        </is>
      </c>
    </row>
    <row r="2">
      <c r="A2" t="n">
        <v>1</v>
      </c>
      <c r="B2" t="n">
        <v>369</v>
      </c>
      <c r="C2" t="n">
        <v>45</v>
      </c>
      <c r="D2" t="inlineStr">
        <is>
          <t>3</t>
        </is>
      </c>
      <c r="E2" t="inlineStr">
        <is>
          <t>B</t>
        </is>
      </c>
      <c r="F2" t="inlineStr">
        <is>
          <t>1.05x1.12x0.2</t>
        </is>
      </c>
      <c r="G2" t="inlineStr">
        <is>
          <t>Steatite</t>
        </is>
      </c>
      <c r="H2" t="inlineStr"/>
      <c r="I2" t="inlineStr"/>
      <c r="J2" t="inlineStr"/>
      <c r="K2" t="inlineStr"/>
      <c r="L2" t="inlineStr">
        <is>
          <t>surface</t>
        </is>
      </c>
      <c r="M2" t="inlineStr">
        <is>
          <t>DK 10799</t>
        </is>
      </c>
      <c r="N2" s="6" t="inlineStr"/>
      <c r="O2" s="6" t="inlineStr"/>
      <c r="P2" s="6" t="inlineStr"/>
    </row>
    <row r="3">
      <c r="A3" t="n">
        <v>2</v>
      </c>
      <c r="B3" t="n">
        <v>371</v>
      </c>
      <c r="C3" t="n">
        <v>47</v>
      </c>
      <c r="D3" t="inlineStr">
        <is>
          <t>44</t>
        </is>
      </c>
      <c r="E3" t="inlineStr">
        <is>
          <t>F</t>
        </is>
      </c>
      <c r="F3" t="inlineStr">
        <is>
          <t>1.23x0.53x0.38</t>
        </is>
      </c>
      <c r="G3" t="inlineStr">
        <is>
          <t>Steatite</t>
        </is>
      </c>
      <c r="H3" t="inlineStr">
        <is>
          <t>16</t>
        </is>
      </c>
      <c r="I3" t="inlineStr">
        <is>
          <t>II</t>
        </is>
      </c>
      <c r="J3" t="inlineStr">
        <is>
          <t>11</t>
        </is>
      </c>
      <c r="K3" t="inlineStr"/>
      <c r="L3" t="inlineStr">
        <is>
          <t>-4.7</t>
        </is>
      </c>
      <c r="M3" t="inlineStr">
        <is>
          <t>DK 11625</t>
        </is>
      </c>
      <c r="N3" s="6" t="inlineStr"/>
      <c r="O3" s="6" t="inlineStr"/>
      <c r="P3" s="6" t="inlineStr"/>
    </row>
    <row r="4">
      <c r="A4" t="n">
        <v>3</v>
      </c>
      <c r="B4" t="n">
        <v>371</v>
      </c>
      <c r="C4" t="n">
        <v>47</v>
      </c>
      <c r="D4" t="inlineStr">
        <is>
          <t>62</t>
        </is>
      </c>
      <c r="E4" t="inlineStr">
        <is>
          <t>B</t>
        </is>
      </c>
      <c r="F4" t="inlineStr">
        <is>
          <t>1.2x0.95x0.3</t>
        </is>
      </c>
      <c r="G4" t="inlineStr">
        <is>
          <t>Steatite</t>
        </is>
      </c>
      <c r="H4" t="inlineStr">
        <is>
          <t>9</t>
        </is>
      </c>
      <c r="I4" t="inlineStr">
        <is>
          <t>VI</t>
        </is>
      </c>
      <c r="J4" t="inlineStr">
        <is>
          <t>30</t>
        </is>
      </c>
      <c r="K4" t="inlineStr"/>
      <c r="L4" t="inlineStr">
        <is>
          <t>-4.9</t>
        </is>
      </c>
      <c r="M4" t="inlineStr">
        <is>
          <t>DK 4479</t>
        </is>
      </c>
      <c r="N4" s="6" t="inlineStr"/>
      <c r="O4" s="6" t="inlineStr"/>
      <c r="P4" s="6" t="inlineStr"/>
    </row>
    <row r="5">
      <c r="A5" t="n">
        <v>4</v>
      </c>
      <c r="B5" t="n">
        <v>371</v>
      </c>
      <c r="C5" t="n">
        <v>47</v>
      </c>
      <c r="D5" t="inlineStr">
        <is>
          <t>61</t>
        </is>
      </c>
      <c r="E5" t="inlineStr">
        <is>
          <t>F</t>
        </is>
      </c>
      <c r="F5" t="inlineStr">
        <is>
          <t>0.91x0.45x0.3</t>
        </is>
      </c>
      <c r="G5" t="inlineStr">
        <is>
          <t>Steatite</t>
        </is>
      </c>
      <c r="H5" t="inlineStr">
        <is>
          <t>20</t>
        </is>
      </c>
      <c r="I5" t="inlineStr">
        <is>
          <t>I</t>
        </is>
      </c>
      <c r="J5" t="inlineStr">
        <is>
          <t>1</t>
        </is>
      </c>
      <c r="K5" t="inlineStr"/>
      <c r="L5" t="inlineStr">
        <is>
          <t>-4.9</t>
        </is>
      </c>
      <c r="M5" t="inlineStr">
        <is>
          <t>DK 12344</t>
        </is>
      </c>
      <c r="N5" s="6" t="inlineStr"/>
      <c r="O5" s="6" t="inlineStr"/>
      <c r="P5" s="6" t="inlineStr"/>
    </row>
    <row r="6">
      <c r="A6" t="n">
        <v>5</v>
      </c>
      <c r="B6" t="n">
        <v>371</v>
      </c>
      <c r="C6" t="n">
        <v>47</v>
      </c>
      <c r="D6" t="inlineStr">
        <is>
          <t>41</t>
        </is>
      </c>
      <c r="E6" t="inlineStr">
        <is>
          <t>F</t>
        </is>
      </c>
      <c r="F6" t="inlineStr">
        <is>
          <t>1.0x0.5x0.4</t>
        </is>
      </c>
      <c r="G6" t="inlineStr">
        <is>
          <t>Steatite</t>
        </is>
      </c>
      <c r="H6" t="inlineStr">
        <is>
          <t>18</t>
        </is>
      </c>
      <c r="I6" t="inlineStr"/>
      <c r="J6" t="inlineStr">
        <is>
          <t>57</t>
        </is>
      </c>
      <c r="K6" t="inlineStr"/>
      <c r="L6" t="inlineStr">
        <is>
          <t>-4.5</t>
        </is>
      </c>
      <c r="M6" t="inlineStr">
        <is>
          <t>DK 10231</t>
        </is>
      </c>
      <c r="N6" s="6" t="inlineStr"/>
      <c r="O6" s="6" t="inlineStr"/>
      <c r="P6" s="6" t="inlineStr"/>
    </row>
    <row r="7">
      <c r="A7" t="n">
        <v>6</v>
      </c>
      <c r="B7" t="n">
        <v>372</v>
      </c>
      <c r="C7" t="n">
        <v>48</v>
      </c>
      <c r="D7" t="inlineStr">
        <is>
          <t>97</t>
        </is>
      </c>
      <c r="E7" t="inlineStr">
        <is>
          <t>F</t>
        </is>
      </c>
      <c r="F7" t="inlineStr">
        <is>
          <t>1.04x0.6x0.35</t>
        </is>
      </c>
      <c r="G7" t="inlineStr">
        <is>
          <t>Steatite</t>
        </is>
      </c>
      <c r="H7" t="inlineStr">
        <is>
          <t>15</t>
        </is>
      </c>
      <c r="I7" t="inlineStr">
        <is>
          <t>VI</t>
        </is>
      </c>
      <c r="J7" t="inlineStr">
        <is>
          <t>27</t>
        </is>
      </c>
      <c r="K7" t="inlineStr"/>
      <c r="L7" t="inlineStr">
        <is>
          <t>-6.1</t>
        </is>
      </c>
      <c r="M7" t="inlineStr">
        <is>
          <t>DK 11375</t>
        </is>
      </c>
      <c r="N7" s="6" t="inlineStr"/>
      <c r="O7" s="6" t="inlineStr"/>
      <c r="P7" s="6" t="inlineStr"/>
    </row>
    <row r="8">
      <c r="A8" t="n">
        <v>7</v>
      </c>
      <c r="B8" t="n">
        <v>372</v>
      </c>
      <c r="C8" t="n">
        <v>48</v>
      </c>
      <c r="D8" t="inlineStr">
        <is>
          <t>90</t>
        </is>
      </c>
      <c r="E8" t="inlineStr">
        <is>
          <t>B</t>
        </is>
      </c>
      <c r="F8" t="inlineStr">
        <is>
          <t>0.84x0.84x0.25</t>
        </is>
      </c>
      <c r="G8" t="inlineStr">
        <is>
          <t>Steatite</t>
        </is>
      </c>
      <c r="H8" t="inlineStr">
        <is>
          <t>26</t>
        </is>
      </c>
      <c r="I8" t="inlineStr">
        <is>
          <t>I</t>
        </is>
      </c>
      <c r="J8" t="inlineStr">
        <is>
          <t>6</t>
        </is>
      </c>
      <c r="K8" t="inlineStr"/>
      <c r="L8" t="inlineStr">
        <is>
          <t>-5.9</t>
        </is>
      </c>
      <c r="M8" t="inlineStr">
        <is>
          <t>DK 10091</t>
        </is>
      </c>
      <c r="N8" s="6" t="inlineStr"/>
      <c r="O8" s="6" t="inlineStr"/>
      <c r="P8" s="6" t="inlineStr"/>
    </row>
    <row r="9">
      <c r="A9" t="n">
        <v>8</v>
      </c>
      <c r="B9" t="n">
        <v>373</v>
      </c>
      <c r="C9" t="n">
        <v>49</v>
      </c>
      <c r="D9" t="inlineStr">
        <is>
          <t>113</t>
        </is>
      </c>
      <c r="E9" t="inlineStr">
        <is>
          <t>B</t>
        </is>
      </c>
      <c r="F9" t="inlineStr">
        <is>
          <t>0.72x0.71x0.23</t>
        </is>
      </c>
      <c r="G9" t="inlineStr">
        <is>
          <t>Steatite</t>
        </is>
      </c>
      <c r="H9" t="inlineStr">
        <is>
          <t>20</t>
        </is>
      </c>
      <c r="I9" t="inlineStr">
        <is>
          <t>II</t>
        </is>
      </c>
      <c r="J9" t="inlineStr">
        <is>
          <t>19</t>
        </is>
      </c>
      <c r="K9" t="inlineStr"/>
      <c r="L9" t="inlineStr">
        <is>
          <t>-6.4</t>
        </is>
      </c>
      <c r="M9" t="inlineStr">
        <is>
          <t>DK 13036</t>
        </is>
      </c>
      <c r="N9" s="6" t="inlineStr"/>
      <c r="O9" s="6" t="inlineStr"/>
      <c r="P9" s="6" t="inlineStr"/>
    </row>
    <row r="10">
      <c r="A10" t="n">
        <v>9</v>
      </c>
      <c r="B10" t="n">
        <v>374</v>
      </c>
      <c r="C10" t="n">
        <v>50</v>
      </c>
      <c r="D10" t="inlineStr">
        <is>
          <t>142</t>
        </is>
      </c>
      <c r="E10" t="inlineStr">
        <is>
          <t>D</t>
        </is>
      </c>
      <c r="F10" t="inlineStr">
        <is>
          <t>1.35x0.56x0.4</t>
        </is>
      </c>
      <c r="G10" t="inlineStr">
        <is>
          <t>Steatite</t>
        </is>
      </c>
      <c r="H10" t="inlineStr"/>
      <c r="I10" t="inlineStr"/>
      <c r="J10" t="inlineStr"/>
      <c r="K10" t="inlineStr">
        <is>
          <t>Bet. Bls. 14 &amp; 15</t>
        </is>
      </c>
      <c r="L10" t="inlineStr">
        <is>
          <t>-7.1</t>
        </is>
      </c>
      <c r="M10" t="inlineStr">
        <is>
          <t>DK 11456</t>
        </is>
      </c>
      <c r="N10" s="6" t="inlineStr"/>
      <c r="O10" s="6" t="inlineStr"/>
      <c r="P10" s="6" t="inlineStr"/>
    </row>
    <row r="11">
      <c r="A11" t="n">
        <v>10</v>
      </c>
      <c r="B11" t="n">
        <v>375</v>
      </c>
      <c r="C11" t="n">
        <v>51</v>
      </c>
      <c r="D11" t="inlineStr">
        <is>
          <t>181</t>
        </is>
      </c>
      <c r="E11" t="inlineStr">
        <is>
          <t>B</t>
        </is>
      </c>
      <c r="F11" t="inlineStr">
        <is>
          <t>0.85x0.79x0.19</t>
        </is>
      </c>
      <c r="G11" t="inlineStr">
        <is>
          <t>Steatite</t>
        </is>
      </c>
      <c r="H11" t="inlineStr"/>
      <c r="I11" t="inlineStr"/>
      <c r="J11" t="inlineStr"/>
      <c r="K11" t="inlineStr">
        <is>
          <t>Central St.</t>
        </is>
      </c>
      <c r="L11" t="inlineStr">
        <is>
          <t>-7.9</t>
        </is>
      </c>
      <c r="M11" t="inlineStr">
        <is>
          <t>DK 14921</t>
        </is>
      </c>
      <c r="N11" s="6" t="inlineStr"/>
      <c r="O11" s="6" t="inlineStr"/>
      <c r="P11" s="6" t="inlineStr"/>
    </row>
    <row r="12">
      <c r="A12" t="n">
        <v>11</v>
      </c>
      <c r="B12" t="n">
        <v>375</v>
      </c>
      <c r="C12" t="n">
        <v>51</v>
      </c>
      <c r="D12" t="inlineStr">
        <is>
          <t>174</t>
        </is>
      </c>
      <c r="E12" t="inlineStr">
        <is>
          <t>B</t>
        </is>
      </c>
      <c r="F12" t="inlineStr">
        <is>
          <t>1.72x?x0.49</t>
        </is>
      </c>
      <c r="G12" t="inlineStr">
        <is>
          <t>Steatite</t>
        </is>
      </c>
      <c r="H12" t="inlineStr"/>
      <c r="I12" t="inlineStr"/>
      <c r="J12" t="inlineStr"/>
      <c r="K12" t="inlineStr">
        <is>
          <t>West St.</t>
        </is>
      </c>
      <c r="L12" t="inlineStr">
        <is>
          <t>-7.7</t>
        </is>
      </c>
      <c r="M12" t="inlineStr">
        <is>
          <t>DK 12124</t>
        </is>
      </c>
      <c r="N12" s="6" t="inlineStr"/>
      <c r="O12" s="6" t="inlineStr"/>
      <c r="P12" s="6" t="inlineStr"/>
    </row>
    <row r="13">
      <c r="A13" t="n">
        <v>12</v>
      </c>
      <c r="B13" t="n">
        <v>375</v>
      </c>
      <c r="C13" t="n">
        <v>51</v>
      </c>
      <c r="D13" t="inlineStr">
        <is>
          <t>178</t>
        </is>
      </c>
      <c r="E13" t="inlineStr">
        <is>
          <t>B</t>
        </is>
      </c>
      <c r="F13" t="inlineStr">
        <is>
          <t>1.4x1.4x0.38</t>
        </is>
      </c>
      <c r="G13" t="inlineStr">
        <is>
          <t>Steatite</t>
        </is>
      </c>
      <c r="H13" t="inlineStr">
        <is>
          <t>9</t>
        </is>
      </c>
      <c r="I13" t="inlineStr">
        <is>
          <t>VIII</t>
        </is>
      </c>
      <c r="J13" t="inlineStr">
        <is>
          <t>21</t>
        </is>
      </c>
      <c r="K13" t="inlineStr"/>
      <c r="L13" t="inlineStr">
        <is>
          <t>-7.5</t>
        </is>
      </c>
      <c r="M13" t="inlineStr">
        <is>
          <t>DK 8054</t>
        </is>
      </c>
      <c r="N13" s="6" t="inlineStr"/>
      <c r="O13" s="6" t="inlineStr"/>
      <c r="P13" s="6" t="inlineStr"/>
    </row>
    <row r="14">
      <c r="A14" t="n">
        <v>13</v>
      </c>
      <c r="B14" t="n">
        <v>375</v>
      </c>
      <c r="C14" t="n">
        <v>51</v>
      </c>
      <c r="D14" t="inlineStr">
        <is>
          <t>200</t>
        </is>
      </c>
      <c r="E14" t="inlineStr">
        <is>
          <t>F</t>
        </is>
      </c>
      <c r="F14" t="inlineStr">
        <is>
          <t>0.9x0.5x0.33</t>
        </is>
      </c>
      <c r="G14" t="inlineStr">
        <is>
          <t>Steatite</t>
        </is>
      </c>
      <c r="H14" t="inlineStr"/>
      <c r="I14" t="inlineStr"/>
      <c r="J14" t="inlineStr"/>
      <c r="K14" t="inlineStr">
        <is>
          <t>Bet. Bls. 1 (III) &amp; 2</t>
        </is>
      </c>
      <c r="L14" t="inlineStr">
        <is>
          <t>-8.2</t>
        </is>
      </c>
      <c r="M14" t="inlineStr">
        <is>
          <t>DK 4379</t>
        </is>
      </c>
      <c r="N14" s="6" t="inlineStr"/>
      <c r="O14" s="6" t="inlineStr"/>
      <c r="P14" s="6" t="inlineStr"/>
    </row>
    <row r="15">
      <c r="A15" t="n">
        <v>14</v>
      </c>
      <c r="B15" t="n">
        <v>375</v>
      </c>
      <c r="C15" t="n">
        <v>51</v>
      </c>
      <c r="D15" t="inlineStr">
        <is>
          <t>188</t>
        </is>
      </c>
      <c r="E15" t="inlineStr">
        <is>
          <t>B</t>
        </is>
      </c>
      <c r="F15" t="inlineStr">
        <is>
          <t>0.42x0.42x0.15</t>
        </is>
      </c>
      <c r="G15" t="inlineStr">
        <is>
          <t>Steatite</t>
        </is>
      </c>
      <c r="H15" t="inlineStr">
        <is>
          <t>13</t>
        </is>
      </c>
      <c r="I15" t="inlineStr">
        <is>
          <t>III</t>
        </is>
      </c>
      <c r="J15" t="inlineStr">
        <is>
          <t>17</t>
        </is>
      </c>
      <c r="K15" t="inlineStr"/>
      <c r="L15" t="inlineStr">
        <is>
          <t>-8.0</t>
        </is>
      </c>
      <c r="M15" t="inlineStr">
        <is>
          <t>DK 11340</t>
        </is>
      </c>
      <c r="N15" s="6" t="inlineStr"/>
      <c r="O15" s="6" t="inlineStr"/>
      <c r="P15" s="6" t="inlineStr"/>
    </row>
    <row r="16">
      <c r="A16" t="n">
        <v>15</v>
      </c>
      <c r="B16" t="n">
        <v>376</v>
      </c>
      <c r="C16" t="n">
        <v>52</v>
      </c>
      <c r="D16" t="inlineStr">
        <is>
          <t>222</t>
        </is>
      </c>
      <c r="E16" t="inlineStr">
        <is>
          <t>B</t>
        </is>
      </c>
      <c r="F16" t="inlineStr">
        <is>
          <t>1.05x1.05x0.32</t>
        </is>
      </c>
      <c r="G16" t="inlineStr">
        <is>
          <t>Steatite</t>
        </is>
      </c>
      <c r="H16" t="inlineStr">
        <is>
          <t>15</t>
        </is>
      </c>
      <c r="I16" t="inlineStr">
        <is>
          <t>I</t>
        </is>
      </c>
      <c r="J16" t="inlineStr">
        <is>
          <t>5</t>
        </is>
      </c>
      <c r="K16" t="inlineStr"/>
      <c r="L16" t="inlineStr">
        <is>
          <t>-8.4</t>
        </is>
      </c>
      <c r="M16" t="inlineStr">
        <is>
          <t>DK 12050</t>
        </is>
      </c>
      <c r="N16" s="6" t="inlineStr"/>
      <c r="O16" s="6" t="inlineStr"/>
      <c r="P16" s="6" t="inlineStr"/>
    </row>
    <row r="17">
      <c r="A17" t="n">
        <v>16</v>
      </c>
      <c r="B17" t="n">
        <v>377</v>
      </c>
      <c r="C17" t="n">
        <v>53</v>
      </c>
      <c r="D17" t="inlineStr">
        <is>
          <t>242</t>
        </is>
      </c>
      <c r="E17" t="inlineStr">
        <is>
          <t>B</t>
        </is>
      </c>
      <c r="F17" t="inlineStr">
        <is>
          <t>1.05x1.05x0.32</t>
        </is>
      </c>
      <c r="G17" t="inlineStr">
        <is>
          <t>Steatite</t>
        </is>
      </c>
      <c r="H17" t="inlineStr">
        <is>
          <t>10</t>
        </is>
      </c>
      <c r="I17" t="inlineStr">
        <is>
          <t>II</t>
        </is>
      </c>
      <c r="J17" t="inlineStr">
        <is>
          <t>25</t>
        </is>
      </c>
      <c r="K17" t="inlineStr"/>
      <c r="L17" t="inlineStr">
        <is>
          <t>-8.8</t>
        </is>
      </c>
      <c r="M17" t="inlineStr">
        <is>
          <t>DK 6500</t>
        </is>
      </c>
      <c r="N17" s="6" t="inlineStr"/>
      <c r="O17" s="6" t="inlineStr"/>
      <c r="P17" s="6" t="inlineStr"/>
    </row>
    <row r="18">
      <c r="A18" t="n">
        <v>17</v>
      </c>
      <c r="B18" t="n">
        <v>377</v>
      </c>
      <c r="C18" t="n">
        <v>53</v>
      </c>
      <c r="D18" t="inlineStr">
        <is>
          <t>267</t>
        </is>
      </c>
      <c r="E18" t="inlineStr">
        <is>
          <t>B</t>
        </is>
      </c>
      <c r="F18" t="inlineStr">
        <is>
          <t>1.12x1.08x0.32</t>
        </is>
      </c>
      <c r="G18" t="inlineStr">
        <is>
          <t>Steatite</t>
        </is>
      </c>
      <c r="H18" t="inlineStr">
        <is>
          <t>9</t>
        </is>
      </c>
      <c r="I18" t="inlineStr">
        <is>
          <t>IX</t>
        </is>
      </c>
      <c r="J18" t="inlineStr">
        <is>
          <t>59</t>
        </is>
      </c>
      <c r="K18" t="inlineStr"/>
      <c r="L18" t="inlineStr">
        <is>
          <t>-9.5</t>
        </is>
      </c>
      <c r="M18" t="inlineStr">
        <is>
          <t>DK 12763</t>
        </is>
      </c>
      <c r="N18" s="6" t="inlineStr"/>
      <c r="O18" s="6" t="inlineStr"/>
      <c r="P18" s="6" t="inlineStr"/>
    </row>
    <row r="19">
      <c r="A19" t="n">
        <v>18</v>
      </c>
      <c r="B19" t="n">
        <v>377</v>
      </c>
      <c r="C19" t="n">
        <v>53</v>
      </c>
      <c r="D19" t="inlineStr">
        <is>
          <t>263</t>
        </is>
      </c>
      <c r="E19" t="inlineStr">
        <is>
          <t>B</t>
        </is>
      </c>
      <c r="F19" t="inlineStr">
        <is>
          <t>1.05x1.03x0.31</t>
        </is>
      </c>
      <c r="G19" t="inlineStr">
        <is>
          <t>Steatite</t>
        </is>
      </c>
      <c r="H19" t="inlineStr">
        <is>
          <t>10</t>
        </is>
      </c>
      <c r="I19" t="inlineStr">
        <is>
          <t>II</t>
        </is>
      </c>
      <c r="J19" t="inlineStr">
        <is>
          <t>25</t>
        </is>
      </c>
      <c r="K19" t="inlineStr"/>
      <c r="L19" t="inlineStr">
        <is>
          <t>-9.4</t>
        </is>
      </c>
      <c r="M19" t="inlineStr">
        <is>
          <t>DK 5924</t>
        </is>
      </c>
      <c r="N19" s="6" t="inlineStr"/>
      <c r="O19" s="6" t="inlineStr"/>
      <c r="P19" s="6" t="inlineStr"/>
    </row>
    <row r="20">
      <c r="A20" t="n">
        <v>19</v>
      </c>
      <c r="B20" t="n">
        <v>378</v>
      </c>
      <c r="C20" t="n">
        <v>54</v>
      </c>
      <c r="D20" t="inlineStr">
        <is>
          <t>305</t>
        </is>
      </c>
      <c r="E20" t="inlineStr">
        <is>
          <t>B</t>
        </is>
      </c>
      <c r="F20" t="inlineStr">
        <is>
          <t>0.93x0.93x0.25</t>
        </is>
      </c>
      <c r="G20" t="inlineStr">
        <is>
          <t>Steatite</t>
        </is>
      </c>
      <c r="H20" t="inlineStr">
        <is>
          <t>7</t>
        </is>
      </c>
      <c r="I20" t="inlineStr">
        <is>
          <t>IX</t>
        </is>
      </c>
      <c r="J20" t="inlineStr">
        <is>
          <t>33</t>
        </is>
      </c>
      <c r="K20" t="inlineStr"/>
      <c r="L20" t="inlineStr">
        <is>
          <t>-10.4</t>
        </is>
      </c>
      <c r="M20" t="inlineStr">
        <is>
          <t>DK 8041</t>
        </is>
      </c>
      <c r="N20" s="6" t="inlineStr"/>
      <c r="O20" s="6" t="inlineStr"/>
      <c r="P20" s="6" t="inlineStr"/>
    </row>
    <row r="21">
      <c r="A21" t="n">
        <v>20</v>
      </c>
      <c r="B21" t="n">
        <v>378</v>
      </c>
      <c r="C21" t="n">
        <v>54</v>
      </c>
      <c r="D21" t="inlineStr">
        <is>
          <t>301</t>
        </is>
      </c>
      <c r="E21" t="inlineStr">
        <is>
          <t>F</t>
        </is>
      </c>
      <c r="F21" t="inlineStr">
        <is>
          <t>2.23x0.53x0.46</t>
        </is>
      </c>
      <c r="G21" t="inlineStr">
        <is>
          <t>Steatite</t>
        </is>
      </c>
      <c r="H21" t="inlineStr">
        <is>
          <t>1</t>
        </is>
      </c>
      <c r="I21" t="inlineStr">
        <is>
          <t>III</t>
        </is>
      </c>
      <c r="J21" t="inlineStr">
        <is>
          <t>2</t>
        </is>
      </c>
      <c r="K21" t="inlineStr"/>
      <c r="L21" t="inlineStr">
        <is>
          <t>-10.1</t>
        </is>
      </c>
      <c r="M21" t="inlineStr">
        <is>
          <t>DK 4603</t>
        </is>
      </c>
      <c r="N21" s="6" t="inlineStr"/>
      <c r="O21" s="6" t="inlineStr"/>
      <c r="P21" s="6" t="inlineStr"/>
    </row>
    <row r="22">
      <c r="A22" t="n">
        <v>21</v>
      </c>
      <c r="B22" t="n">
        <v>378</v>
      </c>
      <c r="C22" t="n">
        <v>54</v>
      </c>
      <c r="D22" t="inlineStr">
        <is>
          <t>276</t>
        </is>
      </c>
      <c r="E22" t="inlineStr">
        <is>
          <t>B</t>
        </is>
      </c>
      <c r="F22" t="inlineStr">
        <is>
          <t>1.2x0.7x0.29</t>
        </is>
      </c>
      <c r="G22" t="inlineStr">
        <is>
          <t>Steatite</t>
        </is>
      </c>
      <c r="H22" t="inlineStr">
        <is>
          <t>9</t>
        </is>
      </c>
      <c r="I22" t="inlineStr">
        <is>
          <t>XI</t>
        </is>
      </c>
      <c r="J22" t="inlineStr">
        <is>
          <t>75</t>
        </is>
      </c>
      <c r="K22" t="inlineStr"/>
      <c r="L22" t="inlineStr">
        <is>
          <t>-9.4</t>
        </is>
      </c>
      <c r="M22" t="inlineStr">
        <is>
          <t>DK 12516</t>
        </is>
      </c>
      <c r="N22" s="6" t="inlineStr"/>
      <c r="O22" s="6" t="inlineStr"/>
      <c r="P22" s="6" t="inlineStr"/>
    </row>
    <row r="23">
      <c r="A23" t="n">
        <v>22</v>
      </c>
      <c r="B23" t="n">
        <v>379</v>
      </c>
      <c r="C23" t="n">
        <v>55</v>
      </c>
      <c r="D23" t="inlineStr">
        <is>
          <t>338</t>
        </is>
      </c>
      <c r="E23" t="inlineStr">
        <is>
          <t>B</t>
        </is>
      </c>
      <c r="F23" t="inlineStr">
        <is>
          <t>1.05x1.05x0.3</t>
        </is>
      </c>
      <c r="G23" t="inlineStr">
        <is>
          <t>Steatite</t>
        </is>
      </c>
      <c r="H23" t="inlineStr">
        <is>
          <t>7</t>
        </is>
      </c>
      <c r="I23" t="inlineStr">
        <is>
          <t>II</t>
        </is>
      </c>
      <c r="J23" t="inlineStr">
        <is>
          <t>88</t>
        </is>
      </c>
      <c r="K23" t="inlineStr"/>
      <c r="L23" t="inlineStr">
        <is>
          <t>-10.8</t>
        </is>
      </c>
      <c r="M23" t="inlineStr">
        <is>
          <t>DK 3693</t>
        </is>
      </c>
      <c r="N23" s="6" t="inlineStr"/>
      <c r="O23" s="6" t="inlineStr"/>
      <c r="P23" s="6" t="inlineStr"/>
    </row>
    <row r="24">
      <c r="A24" t="n">
        <v>23</v>
      </c>
      <c r="B24" t="n">
        <v>379</v>
      </c>
      <c r="C24" t="n">
        <v>55</v>
      </c>
      <c r="D24" t="inlineStr">
        <is>
          <t>310</t>
        </is>
      </c>
      <c r="E24" t="inlineStr">
        <is>
          <t>B</t>
        </is>
      </c>
      <c r="F24" t="inlineStr">
        <is>
          <t>1.17x1.5x0.24</t>
        </is>
      </c>
      <c r="G24" t="inlineStr">
        <is>
          <t>Steatite</t>
        </is>
      </c>
      <c r="H24" t="inlineStr"/>
      <c r="I24" t="inlineStr"/>
      <c r="J24" t="inlineStr"/>
      <c r="K24" t="inlineStr">
        <is>
          <t>Bet. Bls. 12 &amp; 12A</t>
        </is>
      </c>
      <c r="L24" t="inlineStr">
        <is>
          <t>-10.3</t>
        </is>
      </c>
      <c r="M24" t="inlineStr">
        <is>
          <t>DK 5095</t>
        </is>
      </c>
      <c r="N24" s="6" t="inlineStr"/>
      <c r="O24" s="6" t="inlineStr"/>
      <c r="P24" s="6" t="inlineStr"/>
    </row>
    <row r="25">
      <c r="A25" t="n">
        <v>24</v>
      </c>
      <c r="B25" t="n">
        <v>379</v>
      </c>
      <c r="C25" t="n">
        <v>55</v>
      </c>
      <c r="D25" t="inlineStr">
        <is>
          <t>330</t>
        </is>
      </c>
      <c r="E25" t="inlineStr">
        <is>
          <t>B</t>
        </is>
      </c>
      <c r="F25" t="inlineStr">
        <is>
          <t>?x?x0.35</t>
        </is>
      </c>
      <c r="G25" t="inlineStr">
        <is>
          <t>Steatite</t>
        </is>
      </c>
      <c r="H25" t="inlineStr"/>
      <c r="I25" t="inlineStr"/>
      <c r="J25" t="inlineStr"/>
      <c r="K25" t="inlineStr">
        <is>
          <t>Bet. Bls. 1 (I) &amp; 2</t>
        </is>
      </c>
      <c r="L25" t="inlineStr">
        <is>
          <t>-10.8</t>
        </is>
      </c>
      <c r="M25" t="inlineStr">
        <is>
          <t>DK 5840</t>
        </is>
      </c>
      <c r="N25" s="6" t="inlineStr"/>
      <c r="O25" s="6" t="inlineStr"/>
      <c r="P25" s="6" t="inlineStr"/>
    </row>
    <row r="26">
      <c r="A26" t="n">
        <v>25</v>
      </c>
      <c r="B26" t="n">
        <v>379</v>
      </c>
      <c r="C26" t="n">
        <v>55</v>
      </c>
      <c r="D26" t="inlineStr">
        <is>
          <t>306</t>
        </is>
      </c>
      <c r="E26" t="inlineStr">
        <is>
          <t>B</t>
        </is>
      </c>
      <c r="F26" t="inlineStr">
        <is>
          <t>1.49x1.49x0.37</t>
        </is>
      </c>
      <c r="G26" t="inlineStr">
        <is>
          <t>Steatite</t>
        </is>
      </c>
      <c r="H26" t="inlineStr"/>
      <c r="I26" t="inlineStr"/>
      <c r="J26" t="inlineStr"/>
      <c r="K26" t="inlineStr">
        <is>
          <t>First St. (28)</t>
        </is>
      </c>
      <c r="L26" t="inlineStr">
        <is>
          <t>-10.3</t>
        </is>
      </c>
      <c r="M26" t="inlineStr">
        <is>
          <t>DK 12606</t>
        </is>
      </c>
      <c r="N26" s="6" t="inlineStr"/>
      <c r="O26" s="6" t="inlineStr"/>
      <c r="P26" s="6" t="inlineStr"/>
    </row>
    <row r="27">
      <c r="A27" t="n">
        <v>26</v>
      </c>
      <c r="B27" t="n">
        <v>380</v>
      </c>
      <c r="C27" t="n">
        <v>56</v>
      </c>
      <c r="D27" t="inlineStr">
        <is>
          <t>362</t>
        </is>
      </c>
      <c r="E27" t="inlineStr">
        <is>
          <t>B</t>
        </is>
      </c>
      <c r="F27" t="inlineStr">
        <is>
          <t>1.05x1.05x0.3</t>
        </is>
      </c>
      <c r="G27" t="inlineStr">
        <is>
          <t>Steatite</t>
        </is>
      </c>
      <c r="H27" t="inlineStr"/>
      <c r="I27" t="inlineStr"/>
      <c r="J27" t="inlineStr"/>
      <c r="K27" t="inlineStr">
        <is>
          <t>Bet. Bls. 6 &amp; 8</t>
        </is>
      </c>
      <c r="L27" t="inlineStr">
        <is>
          <t>-11.6</t>
        </is>
      </c>
      <c r="M27" t="inlineStr">
        <is>
          <t>DK 7924</t>
        </is>
      </c>
      <c r="N27" s="6" t="inlineStr"/>
      <c r="O27" s="6" t="inlineStr"/>
      <c r="P27" s="6" t="inlineStr"/>
    </row>
    <row r="28">
      <c r="A28" t="n">
        <v>27</v>
      </c>
      <c r="B28" t="n">
        <v>380</v>
      </c>
      <c r="C28" t="n">
        <v>56</v>
      </c>
      <c r="D28" t="inlineStr">
        <is>
          <t>341</t>
        </is>
      </c>
      <c r="E28" t="inlineStr">
        <is>
          <t>B</t>
        </is>
      </c>
      <c r="F28" t="inlineStr">
        <is>
          <t>0.88x0.56x0.25</t>
        </is>
      </c>
      <c r="G28" t="inlineStr">
        <is>
          <t>Steatite</t>
        </is>
      </c>
      <c r="H28" t="inlineStr"/>
      <c r="I28" t="inlineStr"/>
      <c r="J28" t="inlineStr"/>
      <c r="K28" t="inlineStr">
        <is>
          <t>First St. (15)</t>
        </is>
      </c>
      <c r="L28" t="inlineStr">
        <is>
          <t>-10.9</t>
        </is>
      </c>
      <c r="M28" t="inlineStr">
        <is>
          <t>DK 12621</t>
        </is>
      </c>
      <c r="N28" s="6" t="inlineStr"/>
      <c r="O28" s="6" t="inlineStr"/>
      <c r="P28" s="6" t="inlineStr"/>
    </row>
    <row r="29">
      <c r="A29" t="n">
        <v>28</v>
      </c>
      <c r="B29" t="n">
        <v>380</v>
      </c>
      <c r="C29" t="n">
        <v>56</v>
      </c>
      <c r="D29" t="inlineStr">
        <is>
          <t>369</t>
        </is>
      </c>
      <c r="E29" t="inlineStr">
        <is>
          <t>F</t>
        </is>
      </c>
      <c r="F29" t="inlineStr">
        <is>
          <t>0.77x0.3x0.25</t>
        </is>
      </c>
      <c r="G29" t="inlineStr">
        <is>
          <t>Steatite</t>
        </is>
      </c>
      <c r="H29" t="inlineStr">
        <is>
          <t>3</t>
        </is>
      </c>
      <c r="I29" t="inlineStr">
        <is>
          <t>VI</t>
        </is>
      </c>
      <c r="J29" t="inlineStr">
        <is>
          <t>47</t>
        </is>
      </c>
      <c r="K29" t="inlineStr"/>
      <c r="L29" t="inlineStr">
        <is>
          <t>-11.8</t>
        </is>
      </c>
      <c r="M29" t="inlineStr">
        <is>
          <t>DK 3743</t>
        </is>
      </c>
      <c r="N29" s="6" t="inlineStr"/>
      <c r="O29" s="6" t="inlineStr"/>
      <c r="P29" s="6" t="inlineStr"/>
    </row>
    <row r="30">
      <c r="A30" t="n">
        <v>29</v>
      </c>
      <c r="B30" t="n">
        <v>380</v>
      </c>
      <c r="C30" t="n">
        <v>56</v>
      </c>
      <c r="D30" t="inlineStr">
        <is>
          <t>339</t>
        </is>
      </c>
      <c r="E30" t="inlineStr">
        <is>
          <t>D</t>
        </is>
      </c>
      <c r="F30" t="inlineStr">
        <is>
          <t>0.75x0.4x0.15</t>
        </is>
      </c>
      <c r="G30" t="inlineStr">
        <is>
          <t>Steatite</t>
        </is>
      </c>
      <c r="H30" t="inlineStr"/>
      <c r="I30" t="inlineStr"/>
      <c r="J30" t="inlineStr"/>
      <c r="K30" t="inlineStr">
        <is>
          <t>Bet. Bls. 10A &amp; 11</t>
        </is>
      </c>
      <c r="L30" t="inlineStr">
        <is>
          <t>-11.1</t>
        </is>
      </c>
      <c r="M30" t="inlineStr">
        <is>
          <t>DK 5663</t>
        </is>
      </c>
      <c r="N30" s="6" t="inlineStr"/>
      <c r="O30" s="6" t="inlineStr"/>
      <c r="P30" s="6" t="inlineStr"/>
    </row>
    <row r="31">
      <c r="A31" t="n">
        <v>30</v>
      </c>
      <c r="B31" t="n">
        <v>380</v>
      </c>
      <c r="C31" t="n">
        <v>56</v>
      </c>
      <c r="D31" t="inlineStr">
        <is>
          <t>357</t>
        </is>
      </c>
      <c r="E31" t="inlineStr">
        <is>
          <t>B</t>
        </is>
      </c>
      <c r="F31" t="inlineStr">
        <is>
          <t>0.87x?x0.33</t>
        </is>
      </c>
      <c r="G31" t="inlineStr">
        <is>
          <t>Steatite</t>
        </is>
      </c>
      <c r="H31" t="inlineStr">
        <is>
          <t>1</t>
        </is>
      </c>
      <c r="I31" t="inlineStr">
        <is>
          <t>I</t>
        </is>
      </c>
      <c r="J31" t="inlineStr">
        <is>
          <t>18</t>
        </is>
      </c>
      <c r="K31" t="inlineStr"/>
      <c r="L31" t="inlineStr">
        <is>
          <t>-11.3</t>
        </is>
      </c>
      <c r="M31" t="inlineStr">
        <is>
          <t>DK 5470</t>
        </is>
      </c>
      <c r="N31" s="6" t="inlineStr"/>
      <c r="O31" s="6" t="inlineStr"/>
      <c r="P31" s="6" t="inlineStr"/>
    </row>
    <row r="32">
      <c r="A32" t="n">
        <v>31</v>
      </c>
      <c r="B32" t="n">
        <v>381</v>
      </c>
      <c r="C32" t="n">
        <v>57</v>
      </c>
      <c r="D32" t="inlineStr">
        <is>
          <t>395</t>
        </is>
      </c>
      <c r="E32" t="inlineStr">
        <is>
          <t>F</t>
        </is>
      </c>
      <c r="F32" t="inlineStr">
        <is>
          <t>1.14x0.44x0.37</t>
        </is>
      </c>
      <c r="G32" t="inlineStr">
        <is>
          <t>Steatite</t>
        </is>
      </c>
      <c r="H32" t="inlineStr"/>
      <c r="I32" t="inlineStr">
        <is>
          <t>I</t>
        </is>
      </c>
      <c r="J32" t="inlineStr"/>
      <c r="K32" t="inlineStr">
        <is>
          <t>Lane east of Bl. 1</t>
        </is>
      </c>
      <c r="L32" t="inlineStr">
        <is>
          <t>-12.4</t>
        </is>
      </c>
      <c r="M32" t="inlineStr">
        <is>
          <t>DK 7242</t>
        </is>
      </c>
      <c r="N32" s="6" t="inlineStr"/>
      <c r="O32" s="6" t="inlineStr"/>
      <c r="P32" s="6" t="inlineStr"/>
    </row>
    <row r="33">
      <c r="A33" t="n">
        <v>32</v>
      </c>
      <c r="B33" t="n">
        <v>382</v>
      </c>
      <c r="C33" t="n">
        <v>58</v>
      </c>
      <c r="D33" t="inlineStr">
        <is>
          <t>411</t>
        </is>
      </c>
      <c r="E33" t="inlineStr">
        <is>
          <t>B</t>
        </is>
      </c>
      <c r="F33" t="inlineStr">
        <is>
          <t>1.2x1.2x0.3</t>
        </is>
      </c>
      <c r="G33" t="inlineStr">
        <is>
          <t>Steatite</t>
        </is>
      </c>
      <c r="H33" t="inlineStr">
        <is>
          <t>1</t>
        </is>
      </c>
      <c r="I33" t="inlineStr">
        <is>
          <t>VI</t>
        </is>
      </c>
      <c r="J33" t="inlineStr">
        <is>
          <t>52</t>
        </is>
      </c>
      <c r="K33" t="inlineStr"/>
      <c r="L33" t="inlineStr">
        <is>
          <t>-12.6</t>
        </is>
      </c>
      <c r="M33" t="inlineStr">
        <is>
          <t>DK 5307</t>
        </is>
      </c>
      <c r="N33" s="6" t="inlineStr"/>
      <c r="O33" s="6" t="inlineStr"/>
      <c r="P33" s="6" t="inlineStr"/>
    </row>
    <row r="34">
      <c r="A34" t="n">
        <v>33</v>
      </c>
      <c r="B34" t="n">
        <v>382</v>
      </c>
      <c r="C34" t="n">
        <v>58</v>
      </c>
      <c r="D34" t="inlineStr">
        <is>
          <t>402</t>
        </is>
      </c>
      <c r="E34" t="inlineStr">
        <is>
          <t>B</t>
        </is>
      </c>
      <c r="F34" t="inlineStr">
        <is>
          <t>0.92x0.92x0.26</t>
        </is>
      </c>
      <c r="G34" t="inlineStr">
        <is>
          <t>Steatite</t>
        </is>
      </c>
      <c r="H34" t="inlineStr"/>
      <c r="I34" t="inlineStr"/>
      <c r="J34" t="inlineStr"/>
      <c r="K34" t="inlineStr">
        <is>
          <t>Alley west of Bl. 1</t>
        </is>
      </c>
      <c r="L34" t="inlineStr">
        <is>
          <t>-12.4</t>
        </is>
      </c>
      <c r="M34" t="inlineStr">
        <is>
          <t>DK 6713</t>
        </is>
      </c>
      <c r="N34" s="6" t="inlineStr"/>
      <c r="O34" s="6" t="inlineStr"/>
      <c r="P34" s="6" t="inlineStr"/>
    </row>
    <row r="35">
      <c r="A35" t="n">
        <v>34</v>
      </c>
      <c r="B35" t="n">
        <v>382</v>
      </c>
      <c r="C35" t="n">
        <v>58</v>
      </c>
      <c r="D35" t="inlineStr">
        <is>
          <t>403</t>
        </is>
      </c>
      <c r="E35" t="inlineStr">
        <is>
          <t>B</t>
        </is>
      </c>
      <c r="F35" t="inlineStr">
        <is>
          <t>0.96x0.96x0.25</t>
        </is>
      </c>
      <c r="G35" t="inlineStr">
        <is>
          <t>Steatite</t>
        </is>
      </c>
      <c r="H35" t="inlineStr">
        <is>
          <t>3</t>
        </is>
      </c>
      <c r="I35" t="inlineStr">
        <is>
          <t>III</t>
        </is>
      </c>
      <c r="J35" t="inlineStr">
        <is>
          <t>36</t>
        </is>
      </c>
      <c r="K35" t="inlineStr"/>
      <c r="L35" t="inlineStr">
        <is>
          <t>-12.4</t>
        </is>
      </c>
      <c r="M35" t="inlineStr">
        <is>
          <t>DK 3818</t>
        </is>
      </c>
      <c r="N35" s="6" t="inlineStr"/>
      <c r="O35" s="6" t="inlineStr"/>
      <c r="P35" s="6" t="inlineStr"/>
    </row>
    <row r="36">
      <c r="A36" t="n">
        <v>35</v>
      </c>
      <c r="B36" t="n">
        <v>382</v>
      </c>
      <c r="C36" t="n">
        <v>58</v>
      </c>
      <c r="D36" t="inlineStr">
        <is>
          <t>404</t>
        </is>
      </c>
      <c r="E36" t="inlineStr">
        <is>
          <t>B</t>
        </is>
      </c>
      <c r="F36" t="inlineStr">
        <is>
          <t>0.8x0.58x0.25</t>
        </is>
      </c>
      <c r="G36" t="inlineStr">
        <is>
          <t>Steatite</t>
        </is>
      </c>
      <c r="H36" t="inlineStr">
        <is>
          <t>7</t>
        </is>
      </c>
      <c r="I36" t="inlineStr">
        <is>
          <t>VII</t>
        </is>
      </c>
      <c r="J36" t="inlineStr">
        <is>
          <t>57</t>
        </is>
      </c>
      <c r="K36" t="inlineStr"/>
      <c r="L36" t="inlineStr">
        <is>
          <t>-12.4</t>
        </is>
      </c>
      <c r="M36" t="inlineStr">
        <is>
          <t>DK 7571</t>
        </is>
      </c>
      <c r="N36" s="6" t="inlineStr"/>
      <c r="O36" s="6" t="inlineStr"/>
      <c r="P36" s="6" t="inlineStr"/>
    </row>
    <row r="37">
      <c r="A37" t="n">
        <v>36</v>
      </c>
      <c r="B37" t="n">
        <v>382</v>
      </c>
      <c r="C37" t="n">
        <v>58</v>
      </c>
      <c r="D37" t="inlineStr">
        <is>
          <t>428</t>
        </is>
      </c>
      <c r="E37" t="inlineStr">
        <is>
          <t>F</t>
        </is>
      </c>
      <c r="F37" t="inlineStr">
        <is>
          <t>1.03x0.5x0.3</t>
        </is>
      </c>
      <c r="G37" t="inlineStr">
        <is>
          <t>Steatite</t>
        </is>
      </c>
      <c r="H37" t="inlineStr"/>
      <c r="I37" t="inlineStr"/>
      <c r="J37" t="inlineStr"/>
      <c r="K37" t="inlineStr">
        <is>
          <t>Bet. Bls. 1 (V) &amp; 10</t>
        </is>
      </c>
      <c r="L37" t="inlineStr">
        <is>
          <t>-13.0</t>
        </is>
      </c>
      <c r="M37" t="inlineStr">
        <is>
          <t>DK 5820</t>
        </is>
      </c>
      <c r="N37" s="6" t="inlineStr"/>
      <c r="O37" s="6" t="inlineStr"/>
      <c r="P37" s="6" t="inlineStr"/>
    </row>
    <row r="38">
      <c r="A38" t="n">
        <v>37</v>
      </c>
      <c r="B38" t="n">
        <v>383</v>
      </c>
      <c r="C38" t="n">
        <v>59</v>
      </c>
      <c r="D38" t="inlineStr">
        <is>
          <t>464</t>
        </is>
      </c>
      <c r="E38" t="inlineStr">
        <is>
          <t>B</t>
        </is>
      </c>
      <c r="F38" t="inlineStr">
        <is>
          <t>0.7x0.7x0.23</t>
        </is>
      </c>
      <c r="G38" t="inlineStr">
        <is>
          <t>Steatite</t>
        </is>
      </c>
      <c r="H38" t="inlineStr">
        <is>
          <t>7</t>
        </is>
      </c>
      <c r="I38" t="inlineStr">
        <is>
          <t>I</t>
        </is>
      </c>
      <c r="J38" t="inlineStr">
        <is>
          <t>19</t>
        </is>
      </c>
      <c r="K38" t="inlineStr"/>
      <c r="L38" t="inlineStr">
        <is>
          <t>-13.6</t>
        </is>
      </c>
      <c r="M38" t="inlineStr">
        <is>
          <t>DK 6153</t>
        </is>
      </c>
      <c r="N38" s="6" t="inlineStr"/>
      <c r="O38" s="6" t="inlineStr"/>
      <c r="P38" s="6" t="inlineStr"/>
    </row>
    <row r="39">
      <c r="A39" t="n">
        <v>38</v>
      </c>
      <c r="B39" t="n">
        <v>383</v>
      </c>
      <c r="C39" t="n">
        <v>59</v>
      </c>
      <c r="D39" t="inlineStr">
        <is>
          <t>451</t>
        </is>
      </c>
      <c r="E39" t="inlineStr">
        <is>
          <t>B</t>
        </is>
      </c>
      <c r="F39" t="inlineStr">
        <is>
          <t>1.08x1.02x0.32</t>
        </is>
      </c>
      <c r="G39" t="inlineStr">
        <is>
          <t>Steatite</t>
        </is>
      </c>
      <c r="H39" t="inlineStr"/>
      <c r="I39" t="inlineStr"/>
      <c r="J39" t="inlineStr"/>
      <c r="K39" t="inlineStr">
        <is>
          <t>Bet. Bls. 12 &amp; 12A</t>
        </is>
      </c>
      <c r="L39" t="inlineStr">
        <is>
          <t>-13.4</t>
        </is>
      </c>
      <c r="M39" t="inlineStr">
        <is>
          <t>DK 5341</t>
        </is>
      </c>
      <c r="N39" s="6" t="inlineStr"/>
      <c r="O39" s="6" t="inlineStr"/>
      <c r="P39" s="6" t="inlineStr"/>
    </row>
    <row r="40">
      <c r="A40" t="n">
        <v>39</v>
      </c>
      <c r="B40" t="n">
        <v>383</v>
      </c>
      <c r="C40" t="n">
        <v>59</v>
      </c>
      <c r="D40" t="inlineStr">
        <is>
          <t>465</t>
        </is>
      </c>
      <c r="E40" t="inlineStr">
        <is>
          <t>B</t>
        </is>
      </c>
      <c r="F40" t="inlineStr">
        <is>
          <t>1.15x1.11x0.25</t>
        </is>
      </c>
      <c r="G40" t="inlineStr">
        <is>
          <t>Steatite</t>
        </is>
      </c>
      <c r="H40" t="inlineStr">
        <is>
          <t>9</t>
        </is>
      </c>
      <c r="I40" t="inlineStr">
        <is>
          <t>VI</t>
        </is>
      </c>
      <c r="J40" t="inlineStr">
        <is>
          <t>36</t>
        </is>
      </c>
      <c r="K40" t="inlineStr"/>
      <c r="L40" t="inlineStr">
        <is>
          <t>-13.7</t>
        </is>
      </c>
      <c r="M40" t="inlineStr">
        <is>
          <t>DK 8254</t>
        </is>
      </c>
      <c r="N40" s="6" t="inlineStr"/>
      <c r="O40" s="6" t="inlineStr"/>
      <c r="P40" s="6" t="inlineStr"/>
    </row>
    <row r="41">
      <c r="A41" t="n">
        <v>40</v>
      </c>
      <c r="B41" t="n">
        <v>385</v>
      </c>
      <c r="C41" t="n">
        <v>61</v>
      </c>
      <c r="D41" t="inlineStr">
        <is>
          <t>525</t>
        </is>
      </c>
      <c r="E41" t="inlineStr">
        <is>
          <t>B</t>
        </is>
      </c>
      <c r="F41" t="inlineStr">
        <is>
          <t>0.61x0.6x0.15</t>
        </is>
      </c>
      <c r="G41" t="inlineStr">
        <is>
          <t>ditto after Silver (as printed)</t>
        </is>
      </c>
      <c r="H41" t="inlineStr">
        <is>
          <t>1</t>
        </is>
      </c>
      <c r="I41" t="inlineStr">
        <is>
          <t>I</t>
        </is>
      </c>
      <c r="J41" t="inlineStr">
        <is>
          <t>16</t>
        </is>
      </c>
      <c r="K41" t="inlineStr"/>
      <c r="L41" t="inlineStr">
        <is>
          <t>-15.7</t>
        </is>
      </c>
      <c r="M41" t="inlineStr">
        <is>
          <t>DK 7052</t>
        </is>
      </c>
      <c r="N41" s="6" t="inlineStr"/>
      <c r="O41" s="6" t="inlineStr"/>
      <c r="P41" s="6" t="inlineStr"/>
    </row>
    <row r="42">
      <c r="A42" t="n">
        <v>41</v>
      </c>
      <c r="B42" t="n">
        <v>386</v>
      </c>
      <c r="C42" t="n">
        <v>62</v>
      </c>
      <c r="D42" t="inlineStr">
        <is>
          <t>556</t>
        </is>
      </c>
      <c r="E42" t="inlineStr">
        <is>
          <t>B</t>
        </is>
      </c>
      <c r="F42" t="inlineStr">
        <is>
          <t>1.1x1.1x0.3</t>
        </is>
      </c>
      <c r="G42" t="inlineStr">
        <is>
          <t>ditto after Faience (as printed)</t>
        </is>
      </c>
      <c r="H42" t="inlineStr">
        <is>
          <t>7</t>
        </is>
      </c>
      <c r="I42" t="inlineStr">
        <is>
          <t>V</t>
        </is>
      </c>
      <c r="J42" t="inlineStr">
        <is>
          <t>54</t>
        </is>
      </c>
      <c r="K42" t="inlineStr"/>
      <c r="L42" t="inlineStr">
        <is>
          <t>-16.5</t>
        </is>
      </c>
      <c r="M42" t="inlineStr">
        <is>
          <t>DK 7790</t>
        </is>
      </c>
      <c r="N42" s="6" t="inlineStr"/>
      <c r="O42" s="6" t="inlineStr"/>
      <c r="P42" s="6" t="inlineStr"/>
    </row>
    <row r="43">
      <c r="A43" t="n">
        <v>42</v>
      </c>
      <c r="B43" t="n">
        <v>386</v>
      </c>
      <c r="C43" t="n">
        <v>62</v>
      </c>
      <c r="D43" t="inlineStr">
        <is>
          <t>559</t>
        </is>
      </c>
      <c r="E43" t="inlineStr">
        <is>
          <t>B</t>
        </is>
      </c>
      <c r="F43" t="inlineStr">
        <is>
          <t>0.65x0.4x0.33</t>
        </is>
      </c>
      <c r="G43" t="inlineStr">
        <is>
          <t>ditto after Faience (as printed)</t>
        </is>
      </c>
      <c r="H43" t="inlineStr">
        <is>
          <t>2</t>
        </is>
      </c>
      <c r="I43" t="inlineStr">
        <is>
          <t>IV</t>
        </is>
      </c>
      <c r="J43" t="inlineStr">
        <is>
          <t>20</t>
        </is>
      </c>
      <c r="K43" t="inlineStr"/>
      <c r="L43" t="inlineStr">
        <is>
          <t>-16.5</t>
        </is>
      </c>
      <c r="M43" t="inlineStr">
        <is>
          <t>DK 7448</t>
        </is>
      </c>
      <c r="N43" s="6" t="inlineStr"/>
      <c r="O43" s="6" t="inlineStr"/>
      <c r="P43" s="6" t="inlineStr"/>
    </row>
    <row r="44">
      <c r="A44" t="n">
        <v>43</v>
      </c>
      <c r="B44" t="n">
        <v>387</v>
      </c>
      <c r="C44" t="n">
        <v>63</v>
      </c>
      <c r="D44" t="inlineStr">
        <is>
          <t>577</t>
        </is>
      </c>
      <c r="E44" t="inlineStr">
        <is>
          <t>B</t>
        </is>
      </c>
      <c r="F44" t="inlineStr">
        <is>
          <t>0.85x0.83x0.25</t>
        </is>
      </c>
      <c r="G44" t="inlineStr">
        <is>
          <t>Steatite</t>
        </is>
      </c>
      <c r="H44" t="inlineStr">
        <is>
          <t>7</t>
        </is>
      </c>
      <c r="I44" t="inlineStr">
        <is>
          <t>IV</t>
        </is>
      </c>
      <c r="J44" t="inlineStr">
        <is>
          <t>72</t>
        </is>
      </c>
      <c r="K44" t="inlineStr"/>
      <c r="L44" t="inlineStr">
        <is>
          <t>-17.2</t>
        </is>
      </c>
      <c r="M44" t="inlineStr">
        <is>
          <t>DK 8209</t>
        </is>
      </c>
      <c r="N44" s="6" t="inlineStr"/>
      <c r="O44" s="6" t="inlineStr"/>
      <c r="P44" s="6" t="inlineStr"/>
    </row>
    <row r="45">
      <c r="A45" t="n">
        <v>44</v>
      </c>
      <c r="B45" t="n">
        <v>387</v>
      </c>
      <c r="C45" t="n">
        <v>63</v>
      </c>
      <c r="D45" t="inlineStr">
        <is>
          <t>574</t>
        </is>
      </c>
      <c r="E45" t="inlineStr">
        <is>
          <t>B</t>
        </is>
      </c>
      <c r="F45" t="inlineStr">
        <is>
          <t>1.15x1.15x0.31</t>
        </is>
      </c>
      <c r="G45" t="inlineStr">
        <is>
          <t>Steatite</t>
        </is>
      </c>
      <c r="H45" t="inlineStr">
        <is>
          <t>10</t>
        </is>
      </c>
      <c r="I45" t="inlineStr">
        <is>
          <t>IV</t>
        </is>
      </c>
      <c r="J45" t="inlineStr">
        <is>
          <t>86</t>
        </is>
      </c>
      <c r="K45" t="inlineStr"/>
      <c r="L45" t="inlineStr">
        <is>
          <t>-17.0</t>
        </is>
      </c>
      <c r="M45" t="inlineStr">
        <is>
          <t>DK 7135</t>
        </is>
      </c>
      <c r="N45" s="6" t="inlineStr"/>
      <c r="O45" s="6" t="inlineStr"/>
      <c r="P45" s="6" t="inlineStr"/>
    </row>
    <row r="46">
      <c r="A46" t="n">
        <v>45</v>
      </c>
      <c r="B46" t="n">
        <v>388</v>
      </c>
      <c r="C46" t="n">
        <v>64</v>
      </c>
      <c r="D46" t="inlineStr">
        <is>
          <t>618</t>
        </is>
      </c>
      <c r="E46" t="inlineStr">
        <is>
          <t>B</t>
        </is>
      </c>
      <c r="F46" t="inlineStr">
        <is>
          <t>0.86x0.86x0.25</t>
        </is>
      </c>
      <c r="G46" t="inlineStr">
        <is>
          <t>Steatite</t>
        </is>
      </c>
      <c r="H46" t="inlineStr"/>
      <c r="I46" t="inlineStr"/>
      <c r="J46" t="inlineStr"/>
      <c r="K46" t="inlineStr">
        <is>
          <t>First St. (7)</t>
        </is>
      </c>
      <c r="L46" t="inlineStr">
        <is>
          <t>-18.6</t>
        </is>
      </c>
      <c r="M46" t="inlineStr">
        <is>
          <t>DK 8236</t>
        </is>
      </c>
      <c r="N46" s="6" t="inlineStr"/>
      <c r="O46" s="6" t="inlineStr"/>
      <c r="P46" s="6" t="inlineStr"/>
    </row>
    <row r="47">
      <c r="A47" t="n">
        <v>46</v>
      </c>
      <c r="B47" t="n">
        <v>388</v>
      </c>
      <c r="C47" t="n">
        <v>64</v>
      </c>
      <c r="D47" t="inlineStr">
        <is>
          <t>615</t>
        </is>
      </c>
      <c r="E47" t="inlineStr">
        <is>
          <t>B</t>
        </is>
      </c>
      <c r="F47" t="inlineStr">
        <is>
          <t>1.2x1.2x0.28</t>
        </is>
      </c>
      <c r="G47" t="inlineStr">
        <is>
          <t>Steatite</t>
        </is>
      </c>
      <c r="H47" t="inlineStr">
        <is>
          <t>9A</t>
        </is>
      </c>
      <c r="I47" t="inlineStr">
        <is>
          <t>V</t>
        </is>
      </c>
      <c r="J47" t="inlineStr">
        <is>
          <t>75</t>
        </is>
      </c>
      <c r="K47" t="inlineStr"/>
      <c r="L47" t="inlineStr">
        <is>
          <t>-18.4</t>
        </is>
      </c>
      <c r="M47" t="inlineStr">
        <is>
          <t>DK 7469</t>
        </is>
      </c>
      <c r="N47" s="6" t="inlineStr"/>
      <c r="O47" s="6" t="inlineStr"/>
      <c r="P47" s="6" t="inlineStr"/>
    </row>
    <row r="48">
      <c r="A48" t="n">
        <v>47</v>
      </c>
      <c r="B48" t="n">
        <v>389</v>
      </c>
      <c r="C48" t="n">
        <v>65</v>
      </c>
      <c r="D48" t="inlineStr">
        <is>
          <t>641</t>
        </is>
      </c>
      <c r="E48" t="inlineStr">
        <is>
          <t>B</t>
        </is>
      </c>
      <c r="F48" t="inlineStr">
        <is>
          <t>1.22x1.22x0.31</t>
        </is>
      </c>
      <c r="G48" t="inlineStr">
        <is>
          <t>Steatite</t>
        </is>
      </c>
      <c r="H48" t="inlineStr">
        <is>
          <t>9A</t>
        </is>
      </c>
      <c r="I48" t="inlineStr">
        <is>
          <t>V</t>
        </is>
      </c>
      <c r="J48" t="inlineStr">
        <is>
          <t>75</t>
        </is>
      </c>
      <c r="K48" t="inlineStr"/>
      <c r="L48" t="inlineStr">
        <is>
          <t>-20.0</t>
        </is>
      </c>
      <c r="M48" t="inlineStr">
        <is>
          <t>DK 7597</t>
        </is>
      </c>
      <c r="N48" s="6" t="inlineStr"/>
      <c r="O48" s="6" t="inlineStr"/>
      <c r="P48" s="6" t="inlineStr"/>
    </row>
    <row r="49">
      <c r="A49" t="n">
        <v>48</v>
      </c>
      <c r="B49" t="n">
        <v>390</v>
      </c>
      <c r="C49" t="n">
        <v>66</v>
      </c>
      <c r="D49" t="inlineStr">
        <is>
          <t>676</t>
        </is>
      </c>
      <c r="E49" t="inlineStr">
        <is>
          <t>B</t>
        </is>
      </c>
      <c r="F49" t="inlineStr">
        <is>
          <t>1.28x1.28x0.4</t>
        </is>
      </c>
      <c r="G49" t="inlineStr">
        <is>
          <t>Steatite</t>
        </is>
      </c>
      <c r="H49" t="inlineStr">
        <is>
          <t>7</t>
        </is>
      </c>
      <c r="I49" t="inlineStr">
        <is>
          <t>I</t>
        </is>
      </c>
      <c r="J49" t="inlineStr">
        <is>
          <t>3</t>
        </is>
      </c>
      <c r="K49" t="inlineStr"/>
      <c r="L49" t="inlineStr">
        <is>
          <t>-23.4</t>
        </is>
      </c>
      <c r="M49" t="inlineStr">
        <is>
          <t>DK 9475</t>
        </is>
      </c>
      <c r="N49" s="6" t="inlineStr"/>
      <c r="O49" s="6" t="inlineStr"/>
      <c r="P49" s="6" t="inlineStr"/>
    </row>
    <row r="50">
      <c r="A50" t="n">
        <v>49</v>
      </c>
      <c r="B50" t="n">
        <v>390</v>
      </c>
      <c r="C50" t="n">
        <v>66</v>
      </c>
      <c r="D50" t="inlineStr">
        <is>
          <t>691</t>
        </is>
      </c>
      <c r="E50" t="inlineStr">
        <is>
          <t>B</t>
        </is>
      </c>
      <c r="F50" t="inlineStr">
        <is>
          <t>1.22x1.22x0.36</t>
        </is>
      </c>
      <c r="G50" t="inlineStr">
        <is>
          <t>Steatite</t>
        </is>
      </c>
      <c r="H50" t="inlineStr"/>
      <c r="I50" t="inlineStr"/>
      <c r="J50" t="inlineStr"/>
      <c r="K50" t="inlineStr">
        <is>
          <t>North of DK Area (164)</t>
        </is>
      </c>
      <c r="L50" t="inlineStr">
        <is>
          <t>-19.3</t>
        </is>
      </c>
      <c r="M50" t="inlineStr">
        <is>
          <t>DK.H. 36</t>
        </is>
      </c>
      <c r="N50" s="6" t="inlineStr"/>
      <c r="O50" s="6" t="inlineStr"/>
      <c r="P50" s="6" t="inlineStr"/>
    </row>
    <row r="51">
      <c r="A51" t="n">
        <v>50</v>
      </c>
      <c r="B51" t="n">
        <v>390</v>
      </c>
      <c r="C51" t="n">
        <v>66</v>
      </c>
      <c r="D51" t="inlineStr">
        <is>
          <t>686B</t>
        </is>
      </c>
      <c r="E51" t="inlineStr">
        <is>
          <t>B</t>
        </is>
      </c>
      <c r="F51" t="inlineStr">
        <is>
          <t>0.97x0.95x0.21</t>
        </is>
      </c>
      <c r="G51" t="inlineStr">
        <is>
          <t>Steatite</t>
        </is>
      </c>
      <c r="H51" t="inlineStr"/>
      <c r="I51" t="inlineStr"/>
      <c r="J51" t="inlineStr"/>
      <c r="K51" t="inlineStr">
        <is>
          <t>Bet. Bls. 10 &amp; 12</t>
        </is>
      </c>
      <c r="L51" t="inlineStr">
        <is>
          <t>-14.8</t>
        </is>
      </c>
      <c r="M51" t="inlineStr">
        <is>
          <t>DK 7734</t>
        </is>
      </c>
      <c r="N51" s="6" t="inlineStr"/>
      <c r="O51" s="6" t="inlineStr"/>
      <c r="P51" s="6" t="inlineStr"/>
    </row>
  </sheetData>
  <dataValidations count="1">
    <dataValidation sqref="N2 N3 N4 N5 N6 N7 N8 N9 N10 N11 N12 N13 N14 N15 N16 N17 N18 N19 N20 N21 N22 N23 N24 N25 N26 N27 N28 N29 N30 N31 N32 N33 N34 N35 N36 N37 N38 N39 N40 N41 N42 N43 N44 N45 N46 N47 N48 N49 N50 N51"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0" customWidth="1" min="3" max="3"/>
    <col width="8" customWidth="1" min="4" max="4"/>
    <col width="10" customWidth="1" min="5" max="5"/>
    <col width="11" customWidth="1" min="6" max="6"/>
    <col width="10" customWidth="1" min="7" max="7"/>
    <col width="10" customWidth="1" min="8" max="8"/>
    <col width="8" customWidth="1" min="9" max="9"/>
    <col width="18" customWidth="1" min="10" max="10"/>
    <col width="8" customWidth="1" min="11" max="11"/>
    <col width="8" customWidth="1" min="12" max="12"/>
    <col width="20" customWidth="1" min="13" max="13"/>
    <col width="16" customWidth="1" min="14" max="14"/>
    <col width="26" customWidth="1" min="15" max="15"/>
  </cols>
  <sheetData>
    <row r="1">
      <c r="A1" s="5" t="inlineStr">
        <is>
          <t>#</t>
        </is>
      </c>
      <c r="B1" s="5" t="inlineStr">
        <is>
          <t>Printed page</t>
        </is>
      </c>
      <c r="C1" s="5" t="inlineStr">
        <is>
          <t>PDF page</t>
        </is>
      </c>
      <c r="D1" s="5" t="inlineStr">
        <is>
          <t>Column</t>
        </is>
      </c>
      <c r="E1" s="5" t="inlineStr">
        <is>
          <t>plate_no</t>
        </is>
      </c>
      <c r="F1" s="5" t="inlineStr">
        <is>
          <t>size_in</t>
        </is>
      </c>
      <c r="G1" s="5" t="inlineStr">
        <is>
          <t>level_ft</t>
        </is>
      </c>
      <c r="H1" s="5" t="inlineStr">
        <is>
          <t>level_in</t>
        </is>
      </c>
      <c r="I1" s="5" t="inlineStr">
        <is>
          <t>type</t>
        </is>
      </c>
      <c r="J1" s="5" t="inlineStr">
        <is>
          <t>material</t>
        </is>
      </c>
      <c r="K1" s="5" t="inlineStr">
        <is>
          <t>area</t>
        </is>
      </c>
      <c r="L1" s="5" t="inlineStr">
        <is>
          <t>serial</t>
        </is>
      </c>
      <c r="M1" s="5" t="inlineStr">
        <is>
          <t>Row correct? (Y/N)</t>
        </is>
      </c>
      <c r="N1" s="5" t="inlineStr">
        <is>
          <t>Wrong field(s)</t>
        </is>
      </c>
      <c r="O1" s="5" t="inlineStr">
        <is>
          <t>Correct value as printed</t>
        </is>
      </c>
    </row>
    <row r="2">
      <c r="A2" t="n">
        <v>1</v>
      </c>
      <c r="B2" t="n">
        <v>402</v>
      </c>
      <c r="C2" t="n">
        <v>56</v>
      </c>
      <c r="D2" t="inlineStr">
        <is>
          <t>left</t>
        </is>
      </c>
      <c r="E2" t="inlineStr">
        <is>
          <t>12</t>
        </is>
      </c>
      <c r="F2" t="inlineStr">
        <is>
          <t>1.85x1.85</t>
        </is>
      </c>
      <c r="G2" t="inlineStr">
        <is>
          <t>1</t>
        </is>
      </c>
      <c r="H2" t="inlineStr">
        <is>
          <t>6</t>
        </is>
      </c>
      <c r="I2" t="inlineStr">
        <is>
          <t>B</t>
        </is>
      </c>
      <c r="J2" t="inlineStr">
        <is>
          <t>Steatite</t>
        </is>
      </c>
      <c r="K2" t="inlineStr">
        <is>
          <t>C</t>
        </is>
      </c>
      <c r="L2" t="inlineStr">
        <is>
          <t>2691</t>
        </is>
      </c>
      <c r="M2" s="6" t="inlineStr"/>
      <c r="N2" s="6" t="inlineStr"/>
      <c r="O2" s="6" t="inlineStr"/>
    </row>
    <row r="3">
      <c r="A3" t="n">
        <v>2</v>
      </c>
      <c r="B3" t="n">
        <v>402</v>
      </c>
      <c r="C3" t="n">
        <v>56</v>
      </c>
      <c r="D3" t="inlineStr">
        <is>
          <t>left</t>
        </is>
      </c>
      <c r="E3" t="inlineStr">
        <is>
          <t>28</t>
        </is>
      </c>
      <c r="F3" t="inlineStr">
        <is>
          <t>1.4x1.4</t>
        </is>
      </c>
      <c r="G3" t="inlineStr">
        <is>
          <t>3</t>
        </is>
      </c>
      <c r="H3" t="inlineStr">
        <is>
          <t>6</t>
        </is>
      </c>
      <c r="I3" t="inlineStr">
        <is>
          <t>B</t>
        </is>
      </c>
      <c r="J3" t="inlineStr">
        <is>
          <t>Steatite</t>
        </is>
      </c>
      <c r="K3" t="inlineStr">
        <is>
          <t>DK</t>
        </is>
      </c>
      <c r="L3" t="inlineStr">
        <is>
          <t>2484</t>
        </is>
      </c>
      <c r="M3" s="6" t="inlineStr"/>
      <c r="N3" s="6" t="inlineStr"/>
      <c r="O3" s="6" t="inlineStr"/>
    </row>
    <row r="4">
      <c r="A4" t="n">
        <v>3</v>
      </c>
      <c r="B4" t="n">
        <v>402</v>
      </c>
      <c r="C4" t="n">
        <v>56</v>
      </c>
      <c r="D4" t="inlineStr">
        <is>
          <t>left</t>
        </is>
      </c>
      <c r="E4" t="inlineStr">
        <is>
          <t>54</t>
        </is>
      </c>
      <c r="F4" t="inlineStr">
        <is>
          <t>1.4x1.4</t>
        </is>
      </c>
      <c r="G4" t="inlineStr">
        <is>
          <t>5</t>
        </is>
      </c>
      <c r="H4" t="inlineStr">
        <is>
          <t>0</t>
        </is>
      </c>
      <c r="I4" t="inlineStr">
        <is>
          <t>B</t>
        </is>
      </c>
      <c r="J4" t="inlineStr">
        <is>
          <t>Steatite</t>
        </is>
      </c>
      <c r="K4" t="inlineStr">
        <is>
          <t>VS</t>
        </is>
      </c>
      <c r="L4" t="inlineStr">
        <is>
          <t>3594</t>
        </is>
      </c>
      <c r="M4" s="6" t="inlineStr"/>
      <c r="N4" s="6" t="inlineStr"/>
      <c r="O4" s="6" t="inlineStr"/>
    </row>
    <row r="5">
      <c r="A5" t="n">
        <v>4</v>
      </c>
      <c r="B5" t="n">
        <v>402</v>
      </c>
      <c r="C5" t="n">
        <v>56</v>
      </c>
      <c r="D5" t="inlineStr">
        <is>
          <t>left</t>
        </is>
      </c>
      <c r="E5" t="inlineStr">
        <is>
          <t>32</t>
        </is>
      </c>
      <c r="F5" t="inlineStr">
        <is>
          <t>1.5x?</t>
        </is>
      </c>
      <c r="G5" t="inlineStr">
        <is>
          <t>5</t>
        </is>
      </c>
      <c r="H5" t="inlineStr">
        <is>
          <t>0</t>
        </is>
      </c>
      <c r="I5" t="inlineStr">
        <is>
          <t>B</t>
        </is>
      </c>
      <c r="J5" t="inlineStr">
        <is>
          <t>Steatite</t>
        </is>
      </c>
      <c r="K5" t="inlineStr">
        <is>
          <t>HR</t>
        </is>
      </c>
      <c r="L5" t="inlineStr">
        <is>
          <t>5030</t>
        </is>
      </c>
      <c r="M5" s="6" t="inlineStr"/>
      <c r="N5" s="6" t="inlineStr"/>
      <c r="O5" s="6" t="inlineStr"/>
    </row>
    <row r="6">
      <c r="A6" t="n">
        <v>5</v>
      </c>
      <c r="B6" t="n">
        <v>402</v>
      </c>
      <c r="C6" t="n">
        <v>56</v>
      </c>
      <c r="D6" t="inlineStr">
        <is>
          <t>left</t>
        </is>
      </c>
      <c r="E6" t="inlineStr">
        <is>
          <t>42</t>
        </is>
      </c>
      <c r="F6" t="inlineStr">
        <is>
          <t>1.4x1.4</t>
        </is>
      </c>
      <c r="G6" t="inlineStr">
        <is>
          <t>2</t>
        </is>
      </c>
      <c r="H6" t="inlineStr">
        <is>
          <t>0</t>
        </is>
      </c>
      <c r="I6" t="inlineStr">
        <is>
          <t>B</t>
        </is>
      </c>
      <c r="J6" t="inlineStr">
        <is>
          <t>Steatite</t>
        </is>
      </c>
      <c r="K6" t="inlineStr">
        <is>
          <t>HR</t>
        </is>
      </c>
      <c r="L6" t="inlineStr">
        <is>
          <t>4356</t>
        </is>
      </c>
      <c r="M6" s="6" t="inlineStr"/>
      <c r="N6" s="6" t="inlineStr"/>
      <c r="O6" s="6" t="inlineStr"/>
    </row>
    <row r="7">
      <c r="A7" t="n">
        <v>6</v>
      </c>
      <c r="B7" t="n">
        <v>402</v>
      </c>
      <c r="C7" t="n">
        <v>56</v>
      </c>
      <c r="D7" t="inlineStr">
        <is>
          <t>left</t>
        </is>
      </c>
      <c r="E7" t="inlineStr">
        <is>
          <t>2</t>
        </is>
      </c>
      <c r="F7" t="inlineStr">
        <is>
          <t>1.8x1.8</t>
        </is>
      </c>
      <c r="G7" t="inlineStr">
        <is>
          <t>4</t>
        </is>
      </c>
      <c r="H7" t="inlineStr">
        <is>
          <t>2</t>
        </is>
      </c>
      <c r="I7" t="inlineStr">
        <is>
          <t>B</t>
        </is>
      </c>
      <c r="J7" t="inlineStr">
        <is>
          <t>Steatite</t>
        </is>
      </c>
      <c r="K7" t="inlineStr">
        <is>
          <t>E</t>
        </is>
      </c>
      <c r="L7" t="inlineStr">
        <is>
          <t>1187</t>
        </is>
      </c>
      <c r="M7" s="6" t="inlineStr"/>
      <c r="N7" s="6" t="inlineStr"/>
      <c r="O7" s="6" t="inlineStr"/>
    </row>
    <row r="8">
      <c r="A8" t="n">
        <v>7</v>
      </c>
      <c r="B8" t="n">
        <v>402</v>
      </c>
      <c r="C8" t="n">
        <v>56</v>
      </c>
      <c r="D8" t="inlineStr">
        <is>
          <t>left</t>
        </is>
      </c>
      <c r="E8" t="inlineStr">
        <is>
          <t>38</t>
        </is>
      </c>
      <c r="F8" t="inlineStr">
        <is>
          <t>2.5x2.5</t>
        </is>
      </c>
      <c r="G8" t="inlineStr">
        <is>
          <t>2</t>
        </is>
      </c>
      <c r="H8" t="inlineStr">
        <is>
          <t>6</t>
        </is>
      </c>
      <c r="I8" t="inlineStr">
        <is>
          <t>B</t>
        </is>
      </c>
      <c r="J8" t="inlineStr">
        <is>
          <t>Steatite</t>
        </is>
      </c>
      <c r="K8" t="inlineStr">
        <is>
          <t>VS</t>
        </is>
      </c>
      <c r="L8" t="inlineStr">
        <is>
          <t>2040</t>
        </is>
      </c>
      <c r="M8" s="6" t="inlineStr"/>
      <c r="N8" s="6" t="inlineStr"/>
      <c r="O8" s="6" t="inlineStr"/>
    </row>
    <row r="9">
      <c r="A9" t="n">
        <v>8</v>
      </c>
      <c r="B9" t="n">
        <v>402</v>
      </c>
      <c r="C9" t="n">
        <v>56</v>
      </c>
      <c r="D9" t="inlineStr">
        <is>
          <t>right</t>
        </is>
      </c>
      <c r="E9" t="inlineStr">
        <is>
          <t>71</t>
        </is>
      </c>
      <c r="F9" t="inlineStr"/>
      <c r="G9" t="inlineStr"/>
      <c r="H9" t="inlineStr"/>
      <c r="I9" t="inlineStr"/>
      <c r="J9" t="inlineStr"/>
      <c r="K9" t="inlineStr">
        <is>
          <t>BJ</t>
        </is>
      </c>
      <c r="L9" t="inlineStr">
        <is>
          <t>4</t>
        </is>
      </c>
      <c r="M9" s="6" t="inlineStr"/>
      <c r="N9" s="6" t="inlineStr"/>
      <c r="O9" s="6" t="inlineStr"/>
    </row>
    <row r="10">
      <c r="A10" t="n">
        <v>9</v>
      </c>
      <c r="B10" t="n">
        <v>402</v>
      </c>
      <c r="C10" t="n">
        <v>56</v>
      </c>
      <c r="D10" t="inlineStr">
        <is>
          <t>right</t>
        </is>
      </c>
      <c r="E10" t="inlineStr">
        <is>
          <t>103</t>
        </is>
      </c>
      <c r="F10" t="inlineStr">
        <is>
          <t>1.15x1.15</t>
        </is>
      </c>
      <c r="G10" t="inlineStr">
        <is>
          <t>surface</t>
        </is>
      </c>
      <c r="H10" t="inlineStr"/>
      <c r="I10" t="inlineStr">
        <is>
          <t>B</t>
        </is>
      </c>
      <c r="J10" t="inlineStr">
        <is>
          <t>Steatite</t>
        </is>
      </c>
      <c r="K10" t="inlineStr">
        <is>
          <t>HR</t>
        </is>
      </c>
      <c r="L10" t="inlineStr">
        <is>
          <t>683</t>
        </is>
      </c>
      <c r="M10" s="6" t="inlineStr"/>
      <c r="N10" s="6" t="inlineStr"/>
      <c r="O10" s="6" t="inlineStr"/>
    </row>
    <row r="11">
      <c r="A11" t="n">
        <v>10</v>
      </c>
      <c r="B11" t="n">
        <v>402</v>
      </c>
      <c r="C11" t="n">
        <v>56</v>
      </c>
      <c r="D11" t="inlineStr">
        <is>
          <t>right</t>
        </is>
      </c>
      <c r="E11" t="inlineStr">
        <is>
          <t>84</t>
        </is>
      </c>
      <c r="F11" t="inlineStr">
        <is>
          <t>1.2x1.15</t>
        </is>
      </c>
      <c r="G11" t="inlineStr">
        <is>
          <t>12</t>
        </is>
      </c>
      <c r="H11" t="inlineStr">
        <is>
          <t>0</t>
        </is>
      </c>
      <c r="I11" t="inlineStr">
        <is>
          <t>B</t>
        </is>
      </c>
      <c r="J11" t="inlineStr">
        <is>
          <t>Steatite</t>
        </is>
      </c>
      <c r="K11" t="inlineStr">
        <is>
          <t>SD</t>
        </is>
      </c>
      <c r="L11" t="inlineStr">
        <is>
          <t>1930</t>
        </is>
      </c>
      <c r="M11" s="6" t="inlineStr"/>
      <c r="N11" s="6" t="inlineStr"/>
      <c r="O11" s="6" t="inlineStr"/>
    </row>
    <row r="12">
      <c r="A12" t="n">
        <v>11</v>
      </c>
      <c r="B12" t="n">
        <v>402</v>
      </c>
      <c r="C12" t="n">
        <v>56</v>
      </c>
      <c r="D12" t="inlineStr">
        <is>
          <t>right</t>
        </is>
      </c>
      <c r="E12" t="inlineStr">
        <is>
          <t>79</t>
        </is>
      </c>
      <c r="F12" t="inlineStr">
        <is>
          <t>0.6x0.6</t>
        </is>
      </c>
      <c r="G12" t="inlineStr">
        <is>
          <t>3</t>
        </is>
      </c>
      <c r="H12" t="inlineStr">
        <is>
          <t>0</t>
        </is>
      </c>
      <c r="I12" t="inlineStr">
        <is>
          <t>B</t>
        </is>
      </c>
      <c r="J12" t="inlineStr">
        <is>
          <t>Steatite</t>
        </is>
      </c>
      <c r="K12" t="inlineStr">
        <is>
          <t>E</t>
        </is>
      </c>
      <c r="L12" t="inlineStr">
        <is>
          <t>1585</t>
        </is>
      </c>
      <c r="M12" s="6" t="inlineStr"/>
      <c r="N12" s="6" t="inlineStr"/>
      <c r="O12" s="6" t="inlineStr"/>
    </row>
    <row r="13">
      <c r="A13" t="n">
        <v>12</v>
      </c>
      <c r="B13" t="n">
        <v>402</v>
      </c>
      <c r="C13" t="n">
        <v>56</v>
      </c>
      <c r="D13" t="inlineStr">
        <is>
          <t>right</t>
        </is>
      </c>
      <c r="E13" t="inlineStr">
        <is>
          <t>116</t>
        </is>
      </c>
      <c r="F13" t="inlineStr">
        <is>
          <t>1.1x1.1</t>
        </is>
      </c>
      <c r="G13" t="inlineStr">
        <is>
          <t>6</t>
        </is>
      </c>
      <c r="H13" t="inlineStr">
        <is>
          <t>0</t>
        </is>
      </c>
      <c r="I13" t="inlineStr">
        <is>
          <t>B</t>
        </is>
      </c>
      <c r="J13" t="inlineStr">
        <is>
          <t>Steatite</t>
        </is>
      </c>
      <c r="K13" t="inlineStr">
        <is>
          <t>DM</t>
        </is>
      </c>
      <c r="L13" t="inlineStr">
        <is>
          <t>67</t>
        </is>
      </c>
      <c r="M13" s="6" t="inlineStr"/>
      <c r="N13" s="6" t="inlineStr"/>
      <c r="O13" s="6" t="inlineStr"/>
    </row>
    <row r="14">
      <c r="A14" t="n">
        <v>13</v>
      </c>
      <c r="B14" t="n">
        <v>403</v>
      </c>
      <c r="C14" t="n">
        <v>57</v>
      </c>
      <c r="D14" t="inlineStr">
        <is>
          <t>left</t>
        </is>
      </c>
      <c r="E14" t="inlineStr">
        <is>
          <t>165</t>
        </is>
      </c>
      <c r="F14" t="inlineStr"/>
      <c r="G14" t="inlineStr">
        <is>
          <t>5</t>
        </is>
      </c>
      <c r="H14" t="inlineStr">
        <is>
          <t>6</t>
        </is>
      </c>
      <c r="I14" t="inlineStr">
        <is>
          <t>B</t>
        </is>
      </c>
      <c r="J14" t="inlineStr">
        <is>
          <t>Steatite</t>
        </is>
      </c>
      <c r="K14" t="inlineStr">
        <is>
          <t>C</t>
        </is>
      </c>
      <c r="L14" t="inlineStr">
        <is>
          <t>206</t>
        </is>
      </c>
      <c r="M14" s="6" t="inlineStr"/>
      <c r="N14" s="6" t="inlineStr"/>
      <c r="O14" s="6" t="inlineStr"/>
    </row>
    <row r="15">
      <c r="A15" t="n">
        <v>14</v>
      </c>
      <c r="B15" t="n">
        <v>403</v>
      </c>
      <c r="C15" t="n">
        <v>57</v>
      </c>
      <c r="D15" t="inlineStr">
        <is>
          <t>left</t>
        </is>
      </c>
      <c r="E15" t="inlineStr">
        <is>
          <t>157</t>
        </is>
      </c>
      <c r="F15" t="inlineStr">
        <is>
          <t>1.0x1.0</t>
        </is>
      </c>
      <c r="G15" t="inlineStr">
        <is>
          <t>3</t>
        </is>
      </c>
      <c r="H15" t="inlineStr">
        <is>
          <t>6</t>
        </is>
      </c>
      <c r="I15" t="inlineStr">
        <is>
          <t>B</t>
        </is>
      </c>
      <c r="J15" t="inlineStr">
        <is>
          <t>Steatite</t>
        </is>
      </c>
      <c r="K15" t="inlineStr">
        <is>
          <t>VS</t>
        </is>
      </c>
      <c r="L15" t="inlineStr">
        <is>
          <t>1666</t>
        </is>
      </c>
      <c r="M15" s="6" t="inlineStr"/>
      <c r="N15" s="6" t="inlineStr"/>
      <c r="O15" s="6" t="inlineStr"/>
    </row>
    <row r="16">
      <c r="A16" t="n">
        <v>15</v>
      </c>
      <c r="B16" t="n">
        <v>403</v>
      </c>
      <c r="C16" t="n">
        <v>57</v>
      </c>
      <c r="D16" t="inlineStr">
        <is>
          <t>left</t>
        </is>
      </c>
      <c r="E16" t="inlineStr">
        <is>
          <t>191</t>
        </is>
      </c>
      <c r="F16" t="inlineStr"/>
      <c r="G16" t="inlineStr">
        <is>
          <t>2</t>
        </is>
      </c>
      <c r="H16" t="inlineStr">
        <is>
          <t>6</t>
        </is>
      </c>
      <c r="I16" t="inlineStr">
        <is>
          <t>B</t>
        </is>
      </c>
      <c r="J16" t="inlineStr">
        <is>
          <t>Steatite</t>
        </is>
      </c>
      <c r="K16" t="inlineStr">
        <is>
          <t>VS</t>
        </is>
      </c>
      <c r="L16" t="inlineStr">
        <is>
          <t>235</t>
        </is>
      </c>
      <c r="M16" s="6" t="inlineStr"/>
      <c r="N16" s="6" t="inlineStr"/>
      <c r="O16" s="6" t="inlineStr"/>
    </row>
    <row r="17">
      <c r="A17" t="n">
        <v>16</v>
      </c>
      <c r="B17" t="n">
        <v>403</v>
      </c>
      <c r="C17" t="n">
        <v>57</v>
      </c>
      <c r="D17" t="inlineStr">
        <is>
          <t>left</t>
        </is>
      </c>
      <c r="E17" t="inlineStr">
        <is>
          <t>156</t>
        </is>
      </c>
      <c r="F17" t="inlineStr">
        <is>
          <t>1.0x1.0</t>
        </is>
      </c>
      <c r="G17" t="inlineStr">
        <is>
          <t>12</t>
        </is>
      </c>
      <c r="H17" t="inlineStr">
        <is>
          <t>6</t>
        </is>
      </c>
      <c r="I17" t="inlineStr">
        <is>
          <t>B</t>
        </is>
      </c>
      <c r="J17" t="inlineStr">
        <is>
          <t>Steatite</t>
        </is>
      </c>
      <c r="K17" t="inlineStr">
        <is>
          <t>HR</t>
        </is>
      </c>
      <c r="L17" t="inlineStr">
        <is>
          <t>2522</t>
        </is>
      </c>
      <c r="M17" s="6" t="inlineStr"/>
      <c r="N17" s="6" t="inlineStr"/>
      <c r="O17" s="6" t="inlineStr"/>
    </row>
    <row r="18">
      <c r="A18" t="n">
        <v>17</v>
      </c>
      <c r="B18" t="n">
        <v>403</v>
      </c>
      <c r="C18" t="n">
        <v>57</v>
      </c>
      <c r="D18" t="inlineStr">
        <is>
          <t>left</t>
        </is>
      </c>
      <c r="E18" t="inlineStr">
        <is>
          <t>149</t>
        </is>
      </c>
      <c r="F18" t="inlineStr">
        <is>
          <t>0.95x0.95</t>
        </is>
      </c>
      <c r="G18" t="inlineStr">
        <is>
          <t>2</t>
        </is>
      </c>
      <c r="H18" t="inlineStr">
        <is>
          <t>0</t>
        </is>
      </c>
      <c r="I18" t="inlineStr">
        <is>
          <t>B</t>
        </is>
      </c>
      <c r="J18" t="inlineStr">
        <is>
          <t>Steatite</t>
        </is>
      </c>
      <c r="K18" t="inlineStr">
        <is>
          <t>HR</t>
        </is>
      </c>
      <c r="L18" t="inlineStr">
        <is>
          <t>4384</t>
        </is>
      </c>
      <c r="M18" s="6" t="inlineStr"/>
      <c r="N18" s="6" t="inlineStr"/>
      <c r="O18" s="6" t="inlineStr"/>
    </row>
    <row r="19">
      <c r="A19" t="n">
        <v>18</v>
      </c>
      <c r="B19" t="n">
        <v>403</v>
      </c>
      <c r="C19" t="n">
        <v>57</v>
      </c>
      <c r="D19" t="inlineStr">
        <is>
          <t>right</t>
        </is>
      </c>
      <c r="E19" t="inlineStr">
        <is>
          <t>215</t>
        </is>
      </c>
      <c r="F19" t="inlineStr">
        <is>
          <t>0.85x0.85</t>
        </is>
      </c>
      <c r="G19" t="inlineStr">
        <is>
          <t>2</t>
        </is>
      </c>
      <c r="H19" t="inlineStr">
        <is>
          <t>0</t>
        </is>
      </c>
      <c r="I19" t="inlineStr">
        <is>
          <t>B</t>
        </is>
      </c>
      <c r="J19" t="inlineStr">
        <is>
          <t>Steatite</t>
        </is>
      </c>
      <c r="K19" t="inlineStr">
        <is>
          <t>E</t>
        </is>
      </c>
      <c r="L19" t="inlineStr">
        <is>
          <t>1154</t>
        </is>
      </c>
      <c r="M19" s="6" t="inlineStr"/>
      <c r="N19" s="6" t="inlineStr"/>
      <c r="O19" s="6" t="inlineStr"/>
    </row>
    <row r="20">
      <c r="A20" t="n">
        <v>19</v>
      </c>
      <c r="B20" t="n">
        <v>403</v>
      </c>
      <c r="C20" t="n">
        <v>57</v>
      </c>
      <c r="D20" t="inlineStr">
        <is>
          <t>right</t>
        </is>
      </c>
      <c r="E20" t="inlineStr">
        <is>
          <t>274</t>
        </is>
      </c>
      <c r="F20" t="inlineStr">
        <is>
          <t>0.63x0.6</t>
        </is>
      </c>
      <c r="G20" t="inlineStr">
        <is>
          <t>5</t>
        </is>
      </c>
      <c r="H20" t="inlineStr">
        <is>
          <t>0</t>
        </is>
      </c>
      <c r="I20" t="inlineStr">
        <is>
          <t>B</t>
        </is>
      </c>
      <c r="J20" t="inlineStr">
        <is>
          <t>Steatite</t>
        </is>
      </c>
      <c r="K20" t="inlineStr">
        <is>
          <t>C</t>
        </is>
      </c>
      <c r="L20" t="inlineStr">
        <is>
          <t>1863</t>
        </is>
      </c>
      <c r="M20" s="6" t="inlineStr"/>
      <c r="N20" s="6" t="inlineStr"/>
      <c r="O20" s="6" t="inlineStr"/>
    </row>
    <row r="21">
      <c r="A21" t="n">
        <v>20</v>
      </c>
      <c r="B21" t="n">
        <v>403</v>
      </c>
      <c r="C21" t="n">
        <v>57</v>
      </c>
      <c r="D21" t="inlineStr">
        <is>
          <t>right</t>
        </is>
      </c>
      <c r="E21" t="inlineStr">
        <is>
          <t>221</t>
        </is>
      </c>
      <c r="F21" t="inlineStr">
        <is>
          <t>0.85x0.85</t>
        </is>
      </c>
      <c r="G21" t="inlineStr">
        <is>
          <t>4</t>
        </is>
      </c>
      <c r="H21" t="inlineStr">
        <is>
          <t>0</t>
        </is>
      </c>
      <c r="I21" t="inlineStr">
        <is>
          <t>B</t>
        </is>
      </c>
      <c r="J21" t="inlineStr">
        <is>
          <t>Steatite</t>
        </is>
      </c>
      <c r="K21" t="inlineStr">
        <is>
          <t>HR</t>
        </is>
      </c>
      <c r="L21" t="inlineStr">
        <is>
          <t>6098</t>
        </is>
      </c>
      <c r="M21" s="6" t="inlineStr"/>
      <c r="N21" s="6" t="inlineStr"/>
      <c r="O21" s="6" t="inlineStr"/>
    </row>
    <row r="22">
      <c r="A22" t="n">
        <v>21</v>
      </c>
      <c r="B22" t="n">
        <v>403</v>
      </c>
      <c r="C22" t="n">
        <v>57</v>
      </c>
      <c r="D22" t="inlineStr">
        <is>
          <t>right</t>
        </is>
      </c>
      <c r="E22" t="inlineStr">
        <is>
          <t>249</t>
        </is>
      </c>
      <c r="F22" t="inlineStr">
        <is>
          <t>0.85x0.85</t>
        </is>
      </c>
      <c r="G22" t="inlineStr">
        <is>
          <t>1</t>
        </is>
      </c>
      <c r="H22" t="inlineStr">
        <is>
          <t>6</t>
        </is>
      </c>
      <c r="I22" t="inlineStr">
        <is>
          <t>B</t>
        </is>
      </c>
      <c r="J22" t="inlineStr">
        <is>
          <t>Steatite</t>
        </is>
      </c>
      <c r="K22" t="inlineStr">
        <is>
          <t>C</t>
        </is>
      </c>
      <c r="L22" t="inlineStr">
        <is>
          <t>2327</t>
        </is>
      </c>
      <c r="M22" s="6" t="inlineStr"/>
      <c r="N22" s="6" t="inlineStr"/>
      <c r="O22" s="6" t="inlineStr"/>
    </row>
    <row r="23">
      <c r="A23" t="n">
        <v>22</v>
      </c>
      <c r="B23" t="n">
        <v>403</v>
      </c>
      <c r="C23" t="n">
        <v>57</v>
      </c>
      <c r="D23" t="inlineStr">
        <is>
          <t>right</t>
        </is>
      </c>
      <c r="E23" t="inlineStr">
        <is>
          <t>275</t>
        </is>
      </c>
      <c r="F23" t="inlineStr">
        <is>
          <t>0.6x0.2</t>
        </is>
      </c>
      <c r="G23" t="inlineStr">
        <is>
          <t>3</t>
        </is>
      </c>
      <c r="H23" t="inlineStr">
        <is>
          <t>0</t>
        </is>
      </c>
      <c r="I23" t="inlineStr">
        <is>
          <t>B</t>
        </is>
      </c>
      <c r="J23" t="inlineStr">
        <is>
          <t>Steatite</t>
        </is>
      </c>
      <c r="K23" t="inlineStr">
        <is>
          <t>L</t>
        </is>
      </c>
      <c r="L23" t="inlineStr">
        <is>
          <t>899</t>
        </is>
      </c>
      <c r="M23" s="6" t="inlineStr"/>
      <c r="N23" s="6" t="inlineStr"/>
      <c r="O23" s="6" t="inlineStr"/>
    </row>
    <row r="24">
      <c r="A24" t="n">
        <v>23</v>
      </c>
      <c r="B24" t="n">
        <v>403</v>
      </c>
      <c r="C24" t="n">
        <v>57</v>
      </c>
      <c r="D24" t="inlineStr">
        <is>
          <t>right</t>
        </is>
      </c>
      <c r="E24" t="inlineStr">
        <is>
          <t>269</t>
        </is>
      </c>
      <c r="F24" t="inlineStr">
        <is>
          <t>0.6x0.6</t>
        </is>
      </c>
      <c r="G24" t="inlineStr">
        <is>
          <t>16</t>
        </is>
      </c>
      <c r="H24" t="inlineStr">
        <is>
          <t>0</t>
        </is>
      </c>
      <c r="I24" t="inlineStr">
        <is>
          <t>B</t>
        </is>
      </c>
      <c r="J24" t="inlineStr">
        <is>
          <t>Steatite</t>
        </is>
      </c>
      <c r="K24" t="inlineStr">
        <is>
          <t>B</t>
        </is>
      </c>
      <c r="L24" t="inlineStr">
        <is>
          <t>650</t>
        </is>
      </c>
      <c r="M24" s="6" t="inlineStr"/>
      <c r="N24" s="6" t="inlineStr"/>
      <c r="O24" s="6" t="inlineStr"/>
    </row>
    <row r="25">
      <c r="A25" t="n">
        <v>24</v>
      </c>
      <c r="B25" t="n">
        <v>403</v>
      </c>
      <c r="C25" t="n">
        <v>57</v>
      </c>
      <c r="D25" t="inlineStr">
        <is>
          <t>right</t>
        </is>
      </c>
      <c r="E25" t="inlineStr">
        <is>
          <t>232</t>
        </is>
      </c>
      <c r="F25" t="inlineStr">
        <is>
          <t>0.85x0.85</t>
        </is>
      </c>
      <c r="G25" t="inlineStr">
        <is>
          <t>3</t>
        </is>
      </c>
      <c r="H25" t="inlineStr">
        <is>
          <t>0</t>
        </is>
      </c>
      <c r="I25" t="inlineStr">
        <is>
          <t>B</t>
        </is>
      </c>
      <c r="J25" t="inlineStr">
        <is>
          <t>Steatite</t>
        </is>
      </c>
      <c r="K25" t="inlineStr">
        <is>
          <t>DK</t>
        </is>
      </c>
      <c r="L25" t="inlineStr">
        <is>
          <t>1892</t>
        </is>
      </c>
      <c r="M25" s="6" t="inlineStr"/>
      <c r="N25" s="6" t="inlineStr"/>
      <c r="O25" s="6" t="inlineStr"/>
    </row>
    <row r="26">
      <c r="A26" t="n">
        <v>25</v>
      </c>
      <c r="B26" t="n">
        <v>403</v>
      </c>
      <c r="C26" t="n">
        <v>57</v>
      </c>
      <c r="D26" t="inlineStr">
        <is>
          <t>right</t>
        </is>
      </c>
      <c r="E26" t="inlineStr">
        <is>
          <t>266</t>
        </is>
      </c>
      <c r="F26" t="inlineStr">
        <is>
          <t>0.65x0.65</t>
        </is>
      </c>
      <c r="G26" t="inlineStr">
        <is>
          <t>4</t>
        </is>
      </c>
      <c r="H26" t="inlineStr">
        <is>
          <t>6</t>
        </is>
      </c>
      <c r="I26" t="inlineStr">
        <is>
          <t>B</t>
        </is>
      </c>
      <c r="J26" t="inlineStr">
        <is>
          <t>Steatite</t>
        </is>
      </c>
      <c r="K26" t="inlineStr">
        <is>
          <t>HR</t>
        </is>
      </c>
      <c r="L26" t="inlineStr">
        <is>
          <t>4409</t>
        </is>
      </c>
      <c r="M26" s="6" t="inlineStr"/>
      <c r="N26" s="6" t="inlineStr"/>
      <c r="O26" s="6" t="inlineStr"/>
    </row>
    <row r="27">
      <c r="A27" t="n">
        <v>26</v>
      </c>
      <c r="B27" t="n">
        <v>403</v>
      </c>
      <c r="C27" t="n">
        <v>57</v>
      </c>
      <c r="D27" t="inlineStr">
        <is>
          <t>right</t>
        </is>
      </c>
      <c r="E27" t="inlineStr">
        <is>
          <t>222</t>
        </is>
      </c>
      <c r="F27" t="inlineStr">
        <is>
          <t>0.75x0.75</t>
        </is>
      </c>
      <c r="G27" t="inlineStr">
        <is>
          <t>5</t>
        </is>
      </c>
      <c r="H27" t="inlineStr">
        <is>
          <t>0</t>
        </is>
      </c>
      <c r="I27" t="inlineStr">
        <is>
          <t>B</t>
        </is>
      </c>
      <c r="J27" t="inlineStr">
        <is>
          <t>Steatite</t>
        </is>
      </c>
      <c r="K27" t="inlineStr">
        <is>
          <t>HR</t>
        </is>
      </c>
      <c r="L27" t="inlineStr">
        <is>
          <t>5656</t>
        </is>
      </c>
      <c r="M27" s="6" t="inlineStr"/>
      <c r="N27" s="6" t="inlineStr"/>
      <c r="O27" s="6" t="inlineStr"/>
    </row>
    <row r="28">
      <c r="A28" t="n">
        <v>27</v>
      </c>
      <c r="B28" t="n">
        <v>403</v>
      </c>
      <c r="C28" t="n">
        <v>57</v>
      </c>
      <c r="D28" t="inlineStr">
        <is>
          <t>right</t>
        </is>
      </c>
      <c r="E28" t="inlineStr">
        <is>
          <t>229</t>
        </is>
      </c>
      <c r="F28" t="inlineStr">
        <is>
          <t>0.85x0.85</t>
        </is>
      </c>
      <c r="G28" t="inlineStr">
        <is>
          <t>4</t>
        </is>
      </c>
      <c r="H28" t="inlineStr">
        <is>
          <t>6</t>
        </is>
      </c>
      <c r="I28" t="inlineStr">
        <is>
          <t>B</t>
        </is>
      </c>
      <c r="J28" t="inlineStr">
        <is>
          <t>Steatite</t>
        </is>
      </c>
      <c r="K28" t="inlineStr">
        <is>
          <t>E</t>
        </is>
      </c>
      <c r="L28" t="inlineStr">
        <is>
          <t>187</t>
        </is>
      </c>
      <c r="M28" s="6" t="inlineStr"/>
      <c r="N28" s="6" t="inlineStr"/>
      <c r="O28" s="6" t="inlineStr"/>
    </row>
    <row r="29">
      <c r="A29" t="n">
        <v>28</v>
      </c>
      <c r="B29" t="n">
        <v>404</v>
      </c>
      <c r="C29" t="n">
        <v>58</v>
      </c>
      <c r="D29" t="inlineStr">
        <is>
          <t>left</t>
        </is>
      </c>
      <c r="E29" t="inlineStr">
        <is>
          <t>344</t>
        </is>
      </c>
      <c r="F29" t="inlineStr">
        <is>
          <t>1.1x1.1</t>
        </is>
      </c>
      <c r="G29" t="inlineStr">
        <is>
          <t>4</t>
        </is>
      </c>
      <c r="H29" t="inlineStr">
        <is>
          <t>0</t>
        </is>
      </c>
      <c r="I29" t="inlineStr">
        <is>
          <t>B</t>
        </is>
      </c>
      <c r="J29" t="inlineStr">
        <is>
          <t>Steatite</t>
        </is>
      </c>
      <c r="K29" t="inlineStr">
        <is>
          <t>C</t>
        </is>
      </c>
      <c r="L29" t="inlineStr">
        <is>
          <t>2853</t>
        </is>
      </c>
      <c r="M29" s="6" t="inlineStr"/>
      <c r="N29" s="6" t="inlineStr"/>
      <c r="O29" s="6" t="inlineStr"/>
    </row>
    <row r="30">
      <c r="A30" t="n">
        <v>29</v>
      </c>
      <c r="B30" t="n">
        <v>404</v>
      </c>
      <c r="C30" t="n">
        <v>58</v>
      </c>
      <c r="D30" t="inlineStr">
        <is>
          <t>left</t>
        </is>
      </c>
      <c r="E30" t="inlineStr">
        <is>
          <t>313</t>
        </is>
      </c>
      <c r="F30" t="inlineStr">
        <is>
          <t>0.30x?</t>
        </is>
      </c>
      <c r="G30" t="inlineStr">
        <is>
          <t>2</t>
        </is>
      </c>
      <c r="H30" t="inlineStr">
        <is>
          <t>0</t>
        </is>
      </c>
      <c r="I30" t="inlineStr">
        <is>
          <t>B</t>
        </is>
      </c>
      <c r="J30" t="inlineStr"/>
      <c r="K30" t="inlineStr">
        <is>
          <t>VS</t>
        </is>
      </c>
      <c r="L30" t="inlineStr">
        <is>
          <t>2543</t>
        </is>
      </c>
      <c r="M30" s="6" t="inlineStr"/>
      <c r="N30" s="6" t="inlineStr"/>
      <c r="O30" s="6" t="inlineStr"/>
    </row>
    <row r="31">
      <c r="A31" t="n">
        <v>30</v>
      </c>
      <c r="B31" t="n">
        <v>404</v>
      </c>
      <c r="C31" t="n">
        <v>58</v>
      </c>
      <c r="D31" t="inlineStr">
        <is>
          <t>left</t>
        </is>
      </c>
      <c r="E31" t="inlineStr">
        <is>
          <t>323</t>
        </is>
      </c>
      <c r="F31" t="inlineStr">
        <is>
          <t>0.95x0.95</t>
        </is>
      </c>
      <c r="G31" t="inlineStr">
        <is>
          <t>2</t>
        </is>
      </c>
      <c r="H31" t="inlineStr">
        <is>
          <t>0</t>
        </is>
      </c>
      <c r="I31" t="inlineStr">
        <is>
          <t>B</t>
        </is>
      </c>
      <c r="J31" t="inlineStr">
        <is>
          <t>Steatite</t>
        </is>
      </c>
      <c r="K31" t="inlineStr">
        <is>
          <t>HR</t>
        </is>
      </c>
      <c r="L31" t="inlineStr">
        <is>
          <t>4387</t>
        </is>
      </c>
      <c r="M31" s="6" t="inlineStr"/>
      <c r="N31" s="6" t="inlineStr"/>
      <c r="O31" s="6" t="inlineStr"/>
    </row>
    <row r="32">
      <c r="A32" t="n">
        <v>31</v>
      </c>
      <c r="B32" t="n">
        <v>404</v>
      </c>
      <c r="C32" t="n">
        <v>58</v>
      </c>
      <c r="D32" t="inlineStr">
        <is>
          <t>left</t>
        </is>
      </c>
      <c r="E32" t="inlineStr">
        <is>
          <t>287</t>
        </is>
      </c>
      <c r="F32" t="inlineStr">
        <is>
          <t>0.75x0.75</t>
        </is>
      </c>
      <c r="G32" t="inlineStr">
        <is>
          <t>3</t>
        </is>
      </c>
      <c r="H32" t="inlineStr">
        <is>
          <t>6</t>
        </is>
      </c>
      <c r="I32" t="inlineStr">
        <is>
          <t>B</t>
        </is>
      </c>
      <c r="J32" t="inlineStr">
        <is>
          <t>Steatite</t>
        </is>
      </c>
      <c r="K32" t="inlineStr">
        <is>
          <t>C</t>
        </is>
      </c>
      <c r="L32" t="inlineStr">
        <is>
          <t>1956</t>
        </is>
      </c>
      <c r="M32" s="6" t="inlineStr"/>
      <c r="N32" s="6" t="inlineStr"/>
      <c r="O32" s="6" t="inlineStr"/>
    </row>
    <row r="33">
      <c r="A33" t="n">
        <v>32</v>
      </c>
      <c r="B33" t="n">
        <v>404</v>
      </c>
      <c r="C33" t="n">
        <v>58</v>
      </c>
      <c r="D33" t="inlineStr">
        <is>
          <t>left</t>
        </is>
      </c>
      <c r="E33" t="inlineStr">
        <is>
          <t>307</t>
        </is>
      </c>
      <c r="F33" t="inlineStr">
        <is>
          <t>0.95x0.95</t>
        </is>
      </c>
      <c r="G33" t="inlineStr">
        <is>
          <t>4</t>
        </is>
      </c>
      <c r="H33" t="inlineStr">
        <is>
          <t>0</t>
        </is>
      </c>
      <c r="I33" t="inlineStr">
        <is>
          <t>B</t>
        </is>
      </c>
      <c r="J33" t="inlineStr">
        <is>
          <t>Steatite</t>
        </is>
      </c>
      <c r="K33" t="inlineStr">
        <is>
          <t>L</t>
        </is>
      </c>
      <c r="L33" t="inlineStr">
        <is>
          <t>351</t>
        </is>
      </c>
      <c r="M33" s="6" t="inlineStr"/>
      <c r="N33" s="6" t="inlineStr"/>
      <c r="O33" s="6" t="inlineStr"/>
    </row>
    <row r="34">
      <c r="A34" t="n">
        <v>33</v>
      </c>
      <c r="B34" t="n">
        <v>404</v>
      </c>
      <c r="C34" t="n">
        <v>58</v>
      </c>
      <c r="D34" t="inlineStr">
        <is>
          <t>left</t>
        </is>
      </c>
      <c r="E34" t="inlineStr">
        <is>
          <t>298</t>
        </is>
      </c>
      <c r="F34" t="inlineStr"/>
      <c r="G34" t="inlineStr">
        <is>
          <t>6</t>
        </is>
      </c>
      <c r="H34" t="inlineStr">
        <is>
          <t>0</t>
        </is>
      </c>
      <c r="I34" t="inlineStr">
        <is>
          <t>B</t>
        </is>
      </c>
      <c r="J34" t="inlineStr">
        <is>
          <t>Steatite</t>
        </is>
      </c>
      <c r="K34" t="inlineStr">
        <is>
          <t>HR</t>
        </is>
      </c>
      <c r="L34" t="inlineStr">
        <is>
          <t>3841</t>
        </is>
      </c>
      <c r="M34" s="6" t="inlineStr"/>
      <c r="N34" s="6" t="inlineStr"/>
      <c r="O34" s="6" t="inlineStr"/>
    </row>
    <row r="35">
      <c r="A35" t="n">
        <v>34</v>
      </c>
      <c r="B35" t="n">
        <v>404</v>
      </c>
      <c r="C35" t="n">
        <v>58</v>
      </c>
      <c r="D35" t="inlineStr">
        <is>
          <t>right</t>
        </is>
      </c>
      <c r="E35" t="inlineStr">
        <is>
          <t>413</t>
        </is>
      </c>
      <c r="F35" t="inlineStr">
        <is>
          <t>0.7x0.45</t>
        </is>
      </c>
      <c r="G35" t="inlineStr">
        <is>
          <t>2</t>
        </is>
      </c>
      <c r="H35" t="inlineStr">
        <is>
          <t>0</t>
        </is>
      </c>
      <c r="I35" t="inlineStr">
        <is>
          <t>D</t>
        </is>
      </c>
      <c r="J35" t="inlineStr">
        <is>
          <t>Steatite (brown)</t>
        </is>
      </c>
      <c r="K35" t="inlineStr">
        <is>
          <t>E</t>
        </is>
      </c>
      <c r="L35" t="inlineStr">
        <is>
          <t>2039</t>
        </is>
      </c>
      <c r="M35" s="6" t="inlineStr"/>
      <c r="N35" s="6" t="inlineStr"/>
      <c r="O35" s="6" t="inlineStr"/>
    </row>
    <row r="36">
      <c r="A36" t="n">
        <v>35</v>
      </c>
      <c r="B36" t="n">
        <v>404</v>
      </c>
      <c r="C36" t="n">
        <v>58</v>
      </c>
      <c r="D36" t="inlineStr">
        <is>
          <t>right</t>
        </is>
      </c>
      <c r="E36" t="inlineStr">
        <is>
          <t>355</t>
        </is>
      </c>
      <c r="F36" t="inlineStr">
        <is>
          <t>1.05x1.05</t>
        </is>
      </c>
      <c r="G36" t="inlineStr">
        <is>
          <t>3</t>
        </is>
      </c>
      <c r="H36" t="inlineStr">
        <is>
          <t>0</t>
        </is>
      </c>
      <c r="I36" t="inlineStr">
        <is>
          <t>B</t>
        </is>
      </c>
      <c r="J36" t="inlineStr">
        <is>
          <t>Steatite</t>
        </is>
      </c>
      <c r="K36" t="inlineStr">
        <is>
          <t>DK</t>
        </is>
      </c>
      <c r="L36" t="inlineStr">
        <is>
          <t>2869</t>
        </is>
      </c>
      <c r="M36" s="6" t="inlineStr"/>
      <c r="N36" s="6" t="inlineStr"/>
      <c r="O36" s="6" t="inlineStr"/>
    </row>
    <row r="37">
      <c r="A37" t="n">
        <v>36</v>
      </c>
      <c r="B37" t="n">
        <v>405</v>
      </c>
      <c r="C37" t="n">
        <v>59</v>
      </c>
      <c r="D37" t="inlineStr">
        <is>
          <t>left</t>
        </is>
      </c>
      <c r="E37" t="inlineStr">
        <is>
          <t>428</t>
        </is>
      </c>
      <c r="F37" t="inlineStr">
        <is>
          <t>0.65x0.4</t>
        </is>
      </c>
      <c r="G37" t="inlineStr">
        <is>
          <t>3</t>
        </is>
      </c>
      <c r="H37" t="inlineStr">
        <is>
          <t>6</t>
        </is>
      </c>
      <c r="I37" t="inlineStr">
        <is>
          <t>F</t>
        </is>
      </c>
      <c r="J37" t="inlineStr">
        <is>
          <t>Steatite</t>
        </is>
      </c>
      <c r="K37" t="inlineStr">
        <is>
          <t>VS</t>
        </is>
      </c>
      <c r="L37" t="inlineStr">
        <is>
          <t>1681</t>
        </is>
      </c>
      <c r="M37" s="6" t="inlineStr"/>
      <c r="N37" s="6" t="inlineStr"/>
      <c r="O37" s="6" t="inlineStr"/>
    </row>
    <row r="38">
      <c r="A38" t="n">
        <v>37</v>
      </c>
      <c r="B38" t="n">
        <v>405</v>
      </c>
      <c r="C38" t="n">
        <v>59</v>
      </c>
      <c r="D38" t="inlineStr">
        <is>
          <t>left</t>
        </is>
      </c>
      <c r="E38" t="inlineStr">
        <is>
          <t>441</t>
        </is>
      </c>
      <c r="F38" t="inlineStr">
        <is>
          <t>1.05x0.5</t>
        </is>
      </c>
      <c r="G38" t="inlineStr">
        <is>
          <t>5</t>
        </is>
      </c>
      <c r="H38" t="inlineStr">
        <is>
          <t>0</t>
        </is>
      </c>
      <c r="I38" t="inlineStr">
        <is>
          <t>D</t>
        </is>
      </c>
      <c r="J38" t="inlineStr">
        <is>
          <t>Steatite (brown)</t>
        </is>
      </c>
      <c r="K38" t="inlineStr">
        <is>
          <t>HR</t>
        </is>
      </c>
      <c r="L38" t="inlineStr">
        <is>
          <t>5248</t>
        </is>
      </c>
      <c r="M38" s="6" t="inlineStr"/>
      <c r="N38" s="6" t="inlineStr"/>
      <c r="O38" s="6" t="inlineStr"/>
    </row>
    <row r="39">
      <c r="A39" t="n">
        <v>38</v>
      </c>
      <c r="B39" t="n">
        <v>405</v>
      </c>
      <c r="C39" t="n">
        <v>59</v>
      </c>
      <c r="D39" t="inlineStr">
        <is>
          <t>left</t>
        </is>
      </c>
      <c r="E39" t="inlineStr">
        <is>
          <t>423</t>
        </is>
      </c>
      <c r="F39" t="inlineStr"/>
      <c r="G39" t="inlineStr">
        <is>
          <t>1</t>
        </is>
      </c>
      <c r="H39" t="inlineStr">
        <is>
          <t>9</t>
        </is>
      </c>
      <c r="I39" t="inlineStr">
        <is>
          <t>F</t>
        </is>
      </c>
      <c r="J39" t="inlineStr">
        <is>
          <t>Steatite</t>
        </is>
      </c>
      <c r="K39" t="inlineStr">
        <is>
          <t>C</t>
        </is>
      </c>
      <c r="L39" t="inlineStr">
        <is>
          <t>2056</t>
        </is>
      </c>
      <c r="M39" s="6" t="inlineStr"/>
      <c r="N39" s="6" t="inlineStr"/>
      <c r="O39" s="6" t="inlineStr"/>
    </row>
    <row r="40">
      <c r="A40" t="n">
        <v>39</v>
      </c>
      <c r="B40" t="n">
        <v>405</v>
      </c>
      <c r="C40" t="n">
        <v>59</v>
      </c>
      <c r="D40" t="inlineStr">
        <is>
          <t>left</t>
        </is>
      </c>
      <c r="E40" t="inlineStr">
        <is>
          <t>433</t>
        </is>
      </c>
      <c r="F40" t="inlineStr">
        <is>
          <t>1.2x0.75</t>
        </is>
      </c>
      <c r="G40" t="inlineStr">
        <is>
          <t>4</t>
        </is>
      </c>
      <c r="H40" t="inlineStr">
        <is>
          <t>0</t>
        </is>
      </c>
      <c r="I40" t="inlineStr">
        <is>
          <t>F</t>
        </is>
      </c>
      <c r="J40" t="inlineStr">
        <is>
          <t>Steatite (black)</t>
        </is>
      </c>
      <c r="K40" t="inlineStr">
        <is>
          <t>HR</t>
        </is>
      </c>
      <c r="L40" t="inlineStr">
        <is>
          <t>4125</t>
        </is>
      </c>
      <c r="M40" s="6" t="inlineStr"/>
      <c r="N40" s="6" t="inlineStr"/>
      <c r="O40" s="6" t="inlineStr"/>
    </row>
    <row r="41">
      <c r="A41" t="n">
        <v>40</v>
      </c>
      <c r="B41" t="n">
        <v>405</v>
      </c>
      <c r="C41" t="n">
        <v>59</v>
      </c>
      <c r="D41" t="inlineStr">
        <is>
          <t>left</t>
        </is>
      </c>
      <c r="E41" t="inlineStr">
        <is>
          <t>421</t>
        </is>
      </c>
      <c r="F41" t="inlineStr">
        <is>
          <t>1.45x0.45</t>
        </is>
      </c>
      <c r="G41" t="inlineStr">
        <is>
          <t>3</t>
        </is>
      </c>
      <c r="H41" t="inlineStr">
        <is>
          <t>0</t>
        </is>
      </c>
      <c r="I41" t="inlineStr">
        <is>
          <t>F</t>
        </is>
      </c>
      <c r="J41" t="inlineStr">
        <is>
          <t>Steatite</t>
        </is>
      </c>
      <c r="K41" t="inlineStr">
        <is>
          <t>VS</t>
        </is>
      </c>
      <c r="L41" t="inlineStr">
        <is>
          <t>1082</t>
        </is>
      </c>
      <c r="M41" s="6" t="inlineStr"/>
      <c r="N41" s="6" t="inlineStr"/>
      <c r="O41" s="6" t="inlineStr"/>
    </row>
    <row r="42">
      <c r="A42" t="n">
        <v>41</v>
      </c>
      <c r="B42" t="n">
        <v>405</v>
      </c>
      <c r="C42" t="n">
        <v>59</v>
      </c>
      <c r="D42" t="inlineStr">
        <is>
          <t>right</t>
        </is>
      </c>
      <c r="E42" t="inlineStr">
        <is>
          <t>531</t>
        </is>
      </c>
      <c r="F42" t="inlineStr">
        <is>
          <t>?x0.3</t>
        </is>
      </c>
      <c r="G42" t="inlineStr">
        <is>
          <t>4</t>
        </is>
      </c>
      <c r="H42" t="inlineStr">
        <is>
          <t>0</t>
        </is>
      </c>
      <c r="I42" t="inlineStr">
        <is>
          <t>A</t>
        </is>
      </c>
      <c r="J42" t="inlineStr">
        <is>
          <t>Ivory</t>
        </is>
      </c>
      <c r="K42" t="inlineStr">
        <is>
          <t>DK</t>
        </is>
      </c>
      <c r="L42" t="inlineStr">
        <is>
          <t>2666</t>
        </is>
      </c>
      <c r="M42" s="6" t="inlineStr"/>
      <c r="N42" s="6" t="inlineStr"/>
      <c r="O42" s="6" t="inlineStr"/>
    </row>
    <row r="43">
      <c r="A43" t="n">
        <v>42</v>
      </c>
      <c r="B43" t="n">
        <v>405</v>
      </c>
      <c r="C43" t="n">
        <v>59</v>
      </c>
      <c r="D43" t="inlineStr">
        <is>
          <t>right</t>
        </is>
      </c>
      <c r="E43" t="inlineStr">
        <is>
          <t>550</t>
        </is>
      </c>
      <c r="F43" t="inlineStr">
        <is>
          <t>1.2x1.2</t>
        </is>
      </c>
      <c r="G43" t="inlineStr">
        <is>
          <t>2</t>
        </is>
      </c>
      <c r="H43" t="inlineStr">
        <is>
          <t>0</t>
        </is>
      </c>
      <c r="I43" t="inlineStr">
        <is>
          <t>B</t>
        </is>
      </c>
      <c r="J43" t="inlineStr">
        <is>
          <t>Steatite</t>
        </is>
      </c>
      <c r="K43" t="inlineStr">
        <is>
          <t>HR</t>
        </is>
      </c>
      <c r="L43" t="inlineStr">
        <is>
          <t>140</t>
        </is>
      </c>
      <c r="M43" s="6" t="inlineStr"/>
      <c r="N43" s="6" t="inlineStr"/>
      <c r="O43" s="6" t="inlineStr"/>
    </row>
    <row r="44">
      <c r="A44" t="n">
        <v>43</v>
      </c>
      <c r="B44" t="n">
        <v>405</v>
      </c>
      <c r="C44" t="n">
        <v>59</v>
      </c>
      <c r="D44" t="inlineStr">
        <is>
          <t>right</t>
        </is>
      </c>
      <c r="E44" t="inlineStr">
        <is>
          <t>500</t>
        </is>
      </c>
      <c r="F44" t="inlineStr">
        <is>
          <t>0.75x0.75</t>
        </is>
      </c>
      <c r="G44" t="inlineStr">
        <is>
          <t>2</t>
        </is>
      </c>
      <c r="H44" t="inlineStr">
        <is>
          <t>9</t>
        </is>
      </c>
      <c r="I44" t="inlineStr">
        <is>
          <t>E</t>
        </is>
      </c>
      <c r="J44" t="inlineStr">
        <is>
          <t>Faience (yellow)</t>
        </is>
      </c>
      <c r="K44" t="inlineStr">
        <is>
          <t>D</t>
        </is>
      </c>
      <c r="L44" t="inlineStr">
        <is>
          <t>234</t>
        </is>
      </c>
      <c r="M44" s="6" t="inlineStr"/>
      <c r="N44" s="6" t="inlineStr"/>
      <c r="O44" s="6" t="inlineStr"/>
    </row>
    <row r="45">
      <c r="A45" t="n">
        <v>44</v>
      </c>
      <c r="B45" t="n">
        <v>405</v>
      </c>
      <c r="C45" t="n">
        <v>59</v>
      </c>
      <c r="D45" t="inlineStr">
        <is>
          <t>right</t>
        </is>
      </c>
      <c r="E45" t="inlineStr">
        <is>
          <t>497</t>
        </is>
      </c>
      <c r="F45" t="inlineStr"/>
      <c r="G45" t="inlineStr">
        <is>
          <t>4</t>
        </is>
      </c>
      <c r="H45" t="inlineStr">
        <is>
          <t>0</t>
        </is>
      </c>
      <c r="I45" t="inlineStr">
        <is>
          <t>B (?)</t>
        </is>
      </c>
      <c r="J45" t="inlineStr">
        <is>
          <t>Steatite</t>
        </is>
      </c>
      <c r="K45" t="inlineStr">
        <is>
          <t>VS</t>
        </is>
      </c>
      <c r="L45" t="inlineStr">
        <is>
          <t>3331</t>
        </is>
      </c>
      <c r="M45" s="6" t="inlineStr"/>
      <c r="N45" s="6" t="inlineStr"/>
      <c r="O45" s="6" t="inlineStr"/>
    </row>
    <row r="46">
      <c r="A46" t="n">
        <v>45</v>
      </c>
      <c r="B46" t="n">
        <v>405</v>
      </c>
      <c r="C46" t="n">
        <v>59</v>
      </c>
      <c r="D46" t="inlineStr">
        <is>
          <t>right</t>
        </is>
      </c>
      <c r="E46" t="inlineStr">
        <is>
          <t>553</t>
        </is>
      </c>
      <c r="F46" t="inlineStr">
        <is>
          <t>1.55x1.55</t>
        </is>
      </c>
      <c r="G46" t="inlineStr">
        <is>
          <t>4</t>
        </is>
      </c>
      <c r="H46" t="inlineStr">
        <is>
          <t>3</t>
        </is>
      </c>
      <c r="I46" t="inlineStr">
        <is>
          <t>B</t>
        </is>
      </c>
      <c r="J46" t="inlineStr">
        <is>
          <t>Steatite</t>
        </is>
      </c>
      <c r="K46" t="inlineStr">
        <is>
          <t>SD</t>
        </is>
      </c>
      <c r="L46" t="inlineStr">
        <is>
          <t>92</t>
        </is>
      </c>
      <c r="M46" s="6" t="inlineStr"/>
      <c r="N46" s="6" t="inlineStr"/>
      <c r="O46" s="6" t="inlineStr"/>
    </row>
    <row r="47">
      <c r="A47" t="n">
        <v>46</v>
      </c>
      <c r="B47" t="n">
        <v>405</v>
      </c>
      <c r="C47" t="n">
        <v>59</v>
      </c>
      <c r="D47" t="inlineStr">
        <is>
          <t>right</t>
        </is>
      </c>
      <c r="E47" t="inlineStr">
        <is>
          <t>541</t>
        </is>
      </c>
      <c r="F47" t="inlineStr">
        <is>
          <t>1.2x1.2</t>
        </is>
      </c>
      <c r="G47" t="inlineStr">
        <is>
          <t>2</t>
        </is>
      </c>
      <c r="H47" t="inlineStr">
        <is>
          <t>0</t>
        </is>
      </c>
      <c r="I47" t="inlineStr">
        <is>
          <t>B</t>
        </is>
      </c>
      <c r="J47" t="inlineStr">
        <is>
          <t>Steatite</t>
        </is>
      </c>
      <c r="K47" t="inlineStr">
        <is>
          <t>HR</t>
        </is>
      </c>
      <c r="L47" t="inlineStr">
        <is>
          <t>49</t>
        </is>
      </c>
      <c r="M47" s="6" t="inlineStr"/>
      <c r="N47" s="6" t="inlineStr"/>
      <c r="O47" s="6" t="inlineStr"/>
    </row>
    <row r="48">
      <c r="A48" t="n">
        <v>47</v>
      </c>
      <c r="B48" t="n">
        <v>405</v>
      </c>
      <c r="C48" t="n">
        <v>59</v>
      </c>
      <c r="D48" t="inlineStr">
        <is>
          <t>right</t>
        </is>
      </c>
      <c r="E48" t="inlineStr">
        <is>
          <t>503</t>
        </is>
      </c>
      <c r="F48" t="inlineStr">
        <is>
          <t>0.7x0.7</t>
        </is>
      </c>
      <c r="G48" t="inlineStr">
        <is>
          <t>surface</t>
        </is>
      </c>
      <c r="H48" t="inlineStr"/>
      <c r="I48" t="inlineStr">
        <is>
          <t>E</t>
        </is>
      </c>
      <c r="J48" t="inlineStr">
        <is>
          <t>Faience</t>
        </is>
      </c>
      <c r="K48" t="inlineStr">
        <is>
          <t>L</t>
        </is>
      </c>
      <c r="L48" t="inlineStr">
        <is>
          <t>209</t>
        </is>
      </c>
      <c r="M48" s="6" t="inlineStr"/>
      <c r="N48" s="6" t="inlineStr"/>
      <c r="O48" s="6" t="inlineStr"/>
    </row>
    <row r="49">
      <c r="A49" t="n">
        <v>48</v>
      </c>
      <c r="B49" t="n">
        <v>405</v>
      </c>
      <c r="C49" t="n">
        <v>59</v>
      </c>
      <c r="D49" t="inlineStr">
        <is>
          <t>right</t>
        </is>
      </c>
      <c r="E49" t="inlineStr">
        <is>
          <t>538</t>
        </is>
      </c>
      <c r="F49" t="inlineStr">
        <is>
          <t>0.30x?</t>
        </is>
      </c>
      <c r="G49" t="inlineStr">
        <is>
          <t>4</t>
        </is>
      </c>
      <c r="H49" t="inlineStr">
        <is>
          <t>0</t>
        </is>
      </c>
      <c r="I49" t="inlineStr">
        <is>
          <t>B</t>
        </is>
      </c>
      <c r="J49" t="inlineStr">
        <is>
          <t>Steatite</t>
        </is>
      </c>
      <c r="K49" t="inlineStr">
        <is>
          <t>C</t>
        </is>
      </c>
      <c r="L49" t="inlineStr">
        <is>
          <t>2572</t>
        </is>
      </c>
      <c r="M49" s="6" t="inlineStr"/>
      <c r="N49" s="6" t="inlineStr"/>
      <c r="O49" s="6" t="inlineStr"/>
    </row>
    <row r="50">
      <c r="A50" t="n">
        <v>49</v>
      </c>
      <c r="B50" t="n">
        <v>405</v>
      </c>
      <c r="C50" t="n">
        <v>59</v>
      </c>
      <c r="D50" t="inlineStr">
        <is>
          <t>right</t>
        </is>
      </c>
      <c r="E50" t="inlineStr">
        <is>
          <t>537</t>
        </is>
      </c>
      <c r="F50" t="inlineStr">
        <is>
          <t>1.15x1.15</t>
        </is>
      </c>
      <c r="G50" t="inlineStr">
        <is>
          <t>3</t>
        </is>
      </c>
      <c r="H50" t="inlineStr">
        <is>
          <t>0</t>
        </is>
      </c>
      <c r="I50" t="inlineStr">
        <is>
          <t>B</t>
        </is>
      </c>
      <c r="J50" t="inlineStr">
        <is>
          <t>Steatite</t>
        </is>
      </c>
      <c r="K50" t="inlineStr">
        <is>
          <t>VS</t>
        </is>
      </c>
      <c r="L50" t="inlineStr">
        <is>
          <t>955</t>
        </is>
      </c>
      <c r="M50" s="6" t="inlineStr"/>
      <c r="N50" s="6" t="inlineStr"/>
      <c r="O50" s="6" t="inlineStr"/>
    </row>
    <row r="51">
      <c r="A51" t="n">
        <v>50</v>
      </c>
      <c r="B51" t="n">
        <v>405</v>
      </c>
      <c r="C51" t="n">
        <v>59</v>
      </c>
      <c r="D51" t="inlineStr">
        <is>
          <t>right</t>
        </is>
      </c>
      <c r="E51" t="inlineStr">
        <is>
          <t>530</t>
        </is>
      </c>
      <c r="F51" t="inlineStr">
        <is>
          <t>?x0.25</t>
        </is>
      </c>
      <c r="G51" t="inlineStr">
        <is>
          <t>3</t>
        </is>
      </c>
      <c r="H51" t="inlineStr">
        <is>
          <t>0</t>
        </is>
      </c>
      <c r="I51" t="inlineStr">
        <is>
          <t>A</t>
        </is>
      </c>
      <c r="J51" t="inlineStr">
        <is>
          <t>Ivory</t>
        </is>
      </c>
      <c r="K51" t="inlineStr">
        <is>
          <t>HR</t>
        </is>
      </c>
      <c r="L51" t="inlineStr">
        <is>
          <t>4985</t>
        </is>
      </c>
      <c r="M51" s="6" t="inlineStr"/>
      <c r="N51" s="6" t="inlineStr"/>
      <c r="O51" s="6" t="inlineStr"/>
    </row>
  </sheetData>
  <dataValidations count="1">
    <dataValidation sqref="M2 M3 M4 M5 M6 M7 M8 M9 M10 M11 M12 M13 M14 M15 M16 M17 M18 M19 M20 M21 M22 M23 M24 M25 M26 M27 M28 M29 M30 M31 M32 M33 M34 M35 M36 M37 M38 M39 M40 M41 M42 M43 M44 M45 M46 M47 M48 M49 M50 M51"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0" customWidth="1" min="3" max="3"/>
    <col width="9" customWidth="1" min="4" max="4"/>
    <col width="10" customWidth="1" min="5" max="5"/>
    <col width="10" customWidth="1" min="6" max="6"/>
    <col width="11" customWidth="1" min="7" max="7"/>
    <col width="15" customWidth="1" min="8" max="8"/>
    <col width="12" customWidth="1" min="9" max="9"/>
    <col width="28" customWidth="1" min="10" max="10"/>
    <col width="20" customWidth="1" min="11" max="11"/>
    <col width="16" customWidth="1" min="12" max="12"/>
    <col width="26" customWidth="1" min="13" max="13"/>
  </cols>
  <sheetData>
    <row r="1">
      <c r="A1" s="5" t="inlineStr">
        <is>
          <t>#</t>
        </is>
      </c>
      <c r="B1" s="5" t="inlineStr">
        <is>
          <t>Plate</t>
        </is>
      </c>
      <c r="C1" s="5" t="inlineStr">
        <is>
          <t>Seal no.</t>
        </is>
      </c>
      <c r="D1" s="5" t="inlineStr">
        <is>
          <t>n_signs</t>
        </is>
      </c>
      <c r="E1" s="5" t="inlineStr">
        <is>
          <t>ends_jar</t>
        </is>
      </c>
      <c r="F1" s="5" t="inlineStr">
        <is>
          <t>has_fish</t>
        </is>
      </c>
      <c r="G1" s="5" t="inlineStr">
        <is>
          <t>has_arrow</t>
        </is>
      </c>
      <c r="H1" s="5" t="inlineStr">
        <is>
          <t>numeral_group</t>
        </is>
      </c>
      <c r="I1" s="5" t="inlineStr">
        <is>
          <t>confidence</t>
        </is>
      </c>
      <c r="J1" s="5" t="inlineStr">
        <is>
          <t>note</t>
        </is>
      </c>
      <c r="K1" s="5" t="inlineStr">
        <is>
          <t>Row correct? (Y/N)</t>
        </is>
      </c>
      <c r="L1" s="5" t="inlineStr">
        <is>
          <t>Wrong field(s)</t>
        </is>
      </c>
      <c r="M1" s="5" t="inlineStr">
        <is>
          <t>Correct value as printed</t>
        </is>
      </c>
    </row>
    <row r="2">
      <c r="A2" t="n">
        <v>1</v>
      </c>
      <c r="B2" t="inlineStr">
        <is>
          <t>LXXXIII</t>
        </is>
      </c>
      <c r="C2" t="inlineStr">
        <is>
          <t>25</t>
        </is>
      </c>
      <c r="D2" t="inlineStr">
        <is>
          <t>7</t>
        </is>
      </c>
      <c r="E2" t="inlineStr">
        <is>
          <t>no</t>
        </is>
      </c>
      <c r="F2" t="inlineStr">
        <is>
          <t>no</t>
        </is>
      </c>
      <c r="G2" t="inlineStr">
        <is>
          <t>no</t>
        </is>
      </c>
      <c r="H2" t="inlineStr">
        <is>
          <t>yes</t>
        </is>
      </c>
      <c r="I2" t="inlineStr">
        <is>
          <t>medium</t>
        </is>
      </c>
      <c r="J2" t="inlineStr">
        <is>
          <t>forked stem strokes and comb signs</t>
        </is>
      </c>
      <c r="K2" s="6" t="inlineStr"/>
      <c r="L2" s="6" t="inlineStr"/>
      <c r="M2" s="6" t="inlineStr"/>
    </row>
    <row r="3">
      <c r="A3" t="n">
        <v>2</v>
      </c>
      <c r="B3" t="inlineStr">
        <is>
          <t>LXXXIII</t>
        </is>
      </c>
      <c r="C3" t="inlineStr">
        <is>
          <t>34</t>
        </is>
      </c>
      <c r="D3" t="inlineStr">
        <is>
          <t>7</t>
        </is>
      </c>
      <c r="E3" t="inlineStr">
        <is>
          <t>no</t>
        </is>
      </c>
      <c r="F3" t="inlineStr">
        <is>
          <t>no</t>
        </is>
      </c>
      <c r="G3" t="inlineStr">
        <is>
          <t>likely</t>
        </is>
      </c>
      <c r="H3" t="inlineStr">
        <is>
          <t>yes</t>
        </is>
      </c>
      <c r="I3" t="inlineStr">
        <is>
          <t>medium</t>
        </is>
      </c>
      <c r="J3" t="inlineStr">
        <is>
          <t>arrow-like A-shapes and X signs</t>
        </is>
      </c>
      <c r="K3" s="6" t="inlineStr"/>
      <c r="L3" s="6" t="inlineStr"/>
      <c r="M3" s="6" t="inlineStr"/>
    </row>
    <row r="4">
      <c r="A4" t="n">
        <v>3</v>
      </c>
      <c r="B4" t="inlineStr">
        <is>
          <t>LXXXIV</t>
        </is>
      </c>
      <c r="C4" t="inlineStr">
        <is>
          <t>96</t>
        </is>
      </c>
      <c r="D4" t="inlineStr">
        <is>
          <t>4</t>
        </is>
      </c>
      <c r="E4" t="inlineStr">
        <is>
          <t>no</t>
        </is>
      </c>
      <c r="F4" t="inlineStr">
        <is>
          <t>no</t>
        </is>
      </c>
      <c r="G4" t="inlineStr">
        <is>
          <t>no</t>
        </is>
      </c>
      <c r="H4" t="inlineStr">
        <is>
          <t>yes</t>
        </is>
      </c>
      <c r="I4" t="inlineStr">
        <is>
          <t>medium</t>
        </is>
      </c>
      <c r="J4" t="inlineStr">
        <is>
          <t>circled sign and strokes</t>
        </is>
      </c>
      <c r="K4" s="6" t="inlineStr"/>
      <c r="L4" s="6" t="inlineStr"/>
      <c r="M4" s="6" t="inlineStr"/>
    </row>
    <row r="5">
      <c r="A5" t="n">
        <v>4</v>
      </c>
      <c r="B5" t="inlineStr">
        <is>
          <t>LXXXV</t>
        </is>
      </c>
      <c r="C5" t="inlineStr">
        <is>
          <t>118</t>
        </is>
      </c>
      <c r="D5" t="inlineStr">
        <is>
          <t>5</t>
        </is>
      </c>
      <c r="E5" t="inlineStr">
        <is>
          <t>no</t>
        </is>
      </c>
      <c r="F5" t="inlineStr">
        <is>
          <t>no</t>
        </is>
      </c>
      <c r="G5" t="inlineStr">
        <is>
          <t>no</t>
        </is>
      </c>
      <c r="H5" t="inlineStr">
        <is>
          <t>no</t>
        </is>
      </c>
      <c r="I5" t="inlineStr">
        <is>
          <t>low</t>
        </is>
      </c>
      <c r="J5" t="inlineStr">
        <is>
          <t>worn; forked stem and ovals</t>
        </is>
      </c>
      <c r="K5" s="6" t="inlineStr"/>
      <c r="L5" s="6" t="inlineStr"/>
      <c r="M5" s="6" t="inlineStr"/>
    </row>
    <row r="6">
      <c r="A6" t="n">
        <v>5</v>
      </c>
      <c r="B6" t="inlineStr">
        <is>
          <t>LXXXVI</t>
        </is>
      </c>
      <c r="C6" t="inlineStr">
        <is>
          <t>167</t>
        </is>
      </c>
      <c r="D6" t="inlineStr">
        <is>
          <t>4</t>
        </is>
      </c>
      <c r="E6" t="inlineStr">
        <is>
          <t>no</t>
        </is>
      </c>
      <c r="F6" t="inlineStr">
        <is>
          <t>no</t>
        </is>
      </c>
      <c r="G6" t="inlineStr">
        <is>
          <t>no</t>
        </is>
      </c>
      <c r="H6" t="inlineStr">
        <is>
          <t>yes</t>
        </is>
      </c>
      <c r="I6" t="inlineStr">
        <is>
          <t>medium</t>
        </is>
      </c>
      <c r="J6" t="inlineStr">
        <is>
          <t>strokes only</t>
        </is>
      </c>
      <c r="K6" s="6" t="inlineStr"/>
      <c r="L6" s="6" t="inlineStr"/>
      <c r="M6" s="6" t="inlineStr"/>
    </row>
    <row r="7">
      <c r="A7" t="n">
        <v>6</v>
      </c>
      <c r="B7" t="inlineStr">
        <is>
          <t>LXXXVI</t>
        </is>
      </c>
      <c r="C7" t="inlineStr">
        <is>
          <t>189</t>
        </is>
      </c>
      <c r="D7" t="inlineStr">
        <is>
          <t>5</t>
        </is>
      </c>
      <c r="E7" t="inlineStr">
        <is>
          <t>no</t>
        </is>
      </c>
      <c r="F7" t="inlineStr">
        <is>
          <t>no</t>
        </is>
      </c>
      <c r="G7" t="inlineStr">
        <is>
          <t>no</t>
        </is>
      </c>
      <c r="H7" t="inlineStr">
        <is>
          <t>no</t>
        </is>
      </c>
      <c r="I7" t="inlineStr">
        <is>
          <t>low</t>
        </is>
      </c>
      <c r="J7" t="inlineStr">
        <is>
          <t>fragment; strokes and X</t>
        </is>
      </c>
      <c r="K7" s="6" t="inlineStr"/>
      <c r="L7" s="6" t="inlineStr"/>
      <c r="M7" s="6" t="inlineStr"/>
    </row>
    <row r="8">
      <c r="A8" t="n">
        <v>7</v>
      </c>
      <c r="B8" t="inlineStr">
        <is>
          <t>LXXXVII</t>
        </is>
      </c>
      <c r="C8" t="inlineStr">
        <is>
          <t>247</t>
        </is>
      </c>
      <c r="D8" t="inlineStr">
        <is>
          <t>6</t>
        </is>
      </c>
      <c r="E8" t="inlineStr">
        <is>
          <t>no</t>
        </is>
      </c>
      <c r="F8" t="inlineStr">
        <is>
          <t>no</t>
        </is>
      </c>
      <c r="G8" t="inlineStr">
        <is>
          <t>no</t>
        </is>
      </c>
      <c r="H8" t="inlineStr">
        <is>
          <t>no</t>
        </is>
      </c>
      <c r="I8" t="inlineStr">
        <is>
          <t>medium</t>
        </is>
      </c>
      <c r="J8" t="inlineStr">
        <is>
          <t>heart-shape, X X, ovals</t>
        </is>
      </c>
      <c r="K8" s="6" t="inlineStr"/>
      <c r="L8" s="6" t="inlineStr"/>
      <c r="M8" s="6" t="inlineStr"/>
    </row>
    <row r="9">
      <c r="A9" t="n">
        <v>8</v>
      </c>
      <c r="B9" t="inlineStr">
        <is>
          <t>LXXXIX</t>
        </is>
      </c>
      <c r="C9" t="inlineStr">
        <is>
          <t>334</t>
        </is>
      </c>
      <c r="D9" t="inlineStr">
        <is>
          <t>6</t>
        </is>
      </c>
      <c r="E9" t="inlineStr">
        <is>
          <t>likely</t>
        </is>
      </c>
      <c r="F9" t="inlineStr">
        <is>
          <t>no</t>
        </is>
      </c>
      <c r="G9" t="inlineStr">
        <is>
          <t>no</t>
        </is>
      </c>
      <c r="H9" t="inlineStr">
        <is>
          <t>no</t>
        </is>
      </c>
      <c r="I9" t="inlineStr">
        <is>
          <t>medium</t>
        </is>
      </c>
      <c r="J9" t="inlineStr">
        <is>
          <t>U at left; grid and X</t>
        </is>
      </c>
      <c r="K9" s="6" t="inlineStr"/>
      <c r="L9" s="6" t="inlineStr"/>
      <c r="M9" s="6" t="inlineStr"/>
    </row>
    <row r="10">
      <c r="A10" t="n">
        <v>9</v>
      </c>
      <c r="B10" t="inlineStr">
        <is>
          <t>LXXXIX</t>
        </is>
      </c>
      <c r="C10" t="inlineStr">
        <is>
          <t>339</t>
        </is>
      </c>
      <c r="D10" t="inlineStr">
        <is>
          <t>4</t>
        </is>
      </c>
      <c r="E10" t="inlineStr">
        <is>
          <t>no</t>
        </is>
      </c>
      <c r="F10" t="inlineStr">
        <is>
          <t>no</t>
        </is>
      </c>
      <c r="G10" t="inlineStr">
        <is>
          <t>no</t>
        </is>
      </c>
      <c r="H10" t="inlineStr">
        <is>
          <t>yes</t>
        </is>
      </c>
      <c r="I10" t="inlineStr">
        <is>
          <t>high</t>
        </is>
      </c>
      <c r="J10" t="inlineStr">
        <is>
          <t>X, X-in-oval, grid, strokes</t>
        </is>
      </c>
      <c r="K10" s="6" t="inlineStr"/>
      <c r="L10" s="6" t="inlineStr"/>
      <c r="M10" s="6" t="inlineStr"/>
    </row>
    <row r="11">
      <c r="A11" t="n">
        <v>10</v>
      </c>
      <c r="B11" t="inlineStr">
        <is>
          <t>LXXXIX</t>
        </is>
      </c>
      <c r="C11" t="inlineStr">
        <is>
          <t>352</t>
        </is>
      </c>
      <c r="D11" t="inlineStr">
        <is>
          <t>1</t>
        </is>
      </c>
      <c r="E11" t="inlineStr">
        <is>
          <t>no</t>
        </is>
      </c>
      <c r="F11" t="inlineStr">
        <is>
          <t>no</t>
        </is>
      </c>
      <c r="G11" t="inlineStr">
        <is>
          <t>no</t>
        </is>
      </c>
      <c r="H11" t="inlineStr">
        <is>
          <t>no</t>
        </is>
      </c>
      <c r="I11" t="inlineStr">
        <is>
          <t>low</t>
        </is>
      </c>
      <c r="J11" t="inlineStr">
        <is>
          <t>narrow fragment</t>
        </is>
      </c>
      <c r="K11" s="6" t="inlineStr"/>
      <c r="L11" s="6" t="inlineStr"/>
      <c r="M11" s="6" t="inlineStr"/>
    </row>
    <row r="12">
      <c r="A12" t="n">
        <v>11</v>
      </c>
      <c r="B12" t="inlineStr">
        <is>
          <t>XCIV</t>
        </is>
      </c>
      <c r="C12" t="inlineStr">
        <is>
          <t>382</t>
        </is>
      </c>
      <c r="D12" t="inlineStr">
        <is>
          <t>6</t>
        </is>
      </c>
      <c r="E12" t="inlineStr">
        <is>
          <t>no</t>
        </is>
      </c>
      <c r="F12" t="inlineStr">
        <is>
          <t>no</t>
        </is>
      </c>
      <c r="G12" t="inlineStr">
        <is>
          <t>no</t>
        </is>
      </c>
      <c r="H12" t="inlineStr"/>
      <c r="I12" t="inlineStr">
        <is>
          <t>medium</t>
        </is>
      </c>
      <c r="J12" t="inlineStr">
        <is>
          <t>starts (left) with oval; ovals and strokes</t>
        </is>
      </c>
      <c r="K12" s="6" t="inlineStr"/>
      <c r="L12" s="6" t="inlineStr"/>
      <c r="M12" s="6" t="inlineStr"/>
    </row>
    <row r="13">
      <c r="A13" t="n">
        <v>12</v>
      </c>
      <c r="B13" t="inlineStr">
        <is>
          <t>XCIV</t>
        </is>
      </c>
      <c r="C13" t="inlineStr">
        <is>
          <t>389</t>
        </is>
      </c>
      <c r="D13" t="inlineStr">
        <is>
          <t>6</t>
        </is>
      </c>
      <c r="E13" t="inlineStr">
        <is>
          <t>likely</t>
        </is>
      </c>
      <c r="F13" t="inlineStr">
        <is>
          <t>no</t>
        </is>
      </c>
      <c r="G13" t="inlineStr">
        <is>
          <t>no</t>
        </is>
      </c>
      <c r="H13" t="inlineStr"/>
      <c r="I13" t="inlineStr">
        <is>
          <t>medium</t>
        </is>
      </c>
      <c r="J13" t="inlineStr">
        <is>
          <t>U at left; strokes and X</t>
        </is>
      </c>
      <c r="K13" s="6" t="inlineStr"/>
      <c r="L13" s="6" t="inlineStr"/>
      <c r="M13" s="6" t="inlineStr"/>
    </row>
    <row r="14">
      <c r="A14" t="n">
        <v>13</v>
      </c>
      <c r="B14" t="inlineStr">
        <is>
          <t>XCIV</t>
        </is>
      </c>
      <c r="C14" t="inlineStr">
        <is>
          <t>399</t>
        </is>
      </c>
      <c r="D14" t="inlineStr">
        <is>
          <t>5</t>
        </is>
      </c>
      <c r="E14" t="inlineStr">
        <is>
          <t>no</t>
        </is>
      </c>
      <c r="F14" t="inlineStr">
        <is>
          <t>no</t>
        </is>
      </c>
      <c r="G14" t="inlineStr">
        <is>
          <t>no</t>
        </is>
      </c>
      <c r="H14" t="inlineStr"/>
      <c r="I14" t="inlineStr">
        <is>
          <t>medium</t>
        </is>
      </c>
      <c r="J14" t="inlineStr">
        <is>
          <t>X and strokes; worn</t>
        </is>
      </c>
      <c r="K14" s="6" t="inlineStr"/>
      <c r="L14" s="6" t="inlineStr"/>
      <c r="M14" s="6" t="inlineStr"/>
    </row>
    <row r="15">
      <c r="A15" t="n">
        <v>14</v>
      </c>
      <c r="B15" t="inlineStr">
        <is>
          <t>XCIV</t>
        </is>
      </c>
      <c r="C15" t="inlineStr">
        <is>
          <t>413</t>
        </is>
      </c>
      <c r="D15" t="inlineStr">
        <is>
          <t>8</t>
        </is>
      </c>
      <c r="E15" t="inlineStr">
        <is>
          <t>no</t>
        </is>
      </c>
      <c r="F15" t="inlineStr">
        <is>
          <t>no</t>
        </is>
      </c>
      <c r="G15" t="inlineStr">
        <is>
          <t>no</t>
        </is>
      </c>
      <c r="H15" t="inlineStr"/>
      <c r="I15" t="inlineStr">
        <is>
          <t>low</t>
        </is>
      </c>
      <c r="J15" t="inlineStr">
        <is>
          <t>worn; many small signs</t>
        </is>
      </c>
      <c r="K15" s="6" t="inlineStr"/>
      <c r="L15" s="6" t="inlineStr"/>
      <c r="M15" s="6" t="inlineStr"/>
    </row>
    <row r="16">
      <c r="A16" t="n">
        <v>15</v>
      </c>
      <c r="B16" t="inlineStr">
        <is>
          <t>XCIV</t>
        </is>
      </c>
      <c r="C16" t="inlineStr">
        <is>
          <t>421</t>
        </is>
      </c>
      <c r="D16" t="inlineStr">
        <is>
          <t>6</t>
        </is>
      </c>
      <c r="E16" t="inlineStr">
        <is>
          <t>no</t>
        </is>
      </c>
      <c r="F16" t="inlineStr">
        <is>
          <t>no</t>
        </is>
      </c>
      <c r="G16" t="inlineStr">
        <is>
          <t>no</t>
        </is>
      </c>
      <c r="H16" t="inlineStr"/>
      <c r="I16" t="inlineStr">
        <is>
          <t>medium</t>
        </is>
      </c>
      <c r="J16" t="inlineStr">
        <is>
          <t>strokes and comb-like sign; worn</t>
        </is>
      </c>
      <c r="K16" s="6" t="inlineStr"/>
      <c r="L16" s="6" t="inlineStr"/>
      <c r="M16" s="6" t="inlineStr"/>
    </row>
    <row r="17">
      <c r="A17" t="n">
        <v>16</v>
      </c>
      <c r="B17" t="inlineStr">
        <is>
          <t>XCIV</t>
        </is>
      </c>
      <c r="C17" t="inlineStr">
        <is>
          <t>423</t>
        </is>
      </c>
      <c r="D17" t="inlineStr">
        <is>
          <t>8</t>
        </is>
      </c>
      <c r="E17" t="inlineStr">
        <is>
          <t>no</t>
        </is>
      </c>
      <c r="F17" t="inlineStr">
        <is>
          <t>no</t>
        </is>
      </c>
      <c r="G17" t="inlineStr">
        <is>
          <t>no</t>
        </is>
      </c>
      <c r="H17" t="inlineStr"/>
      <c r="I17" t="inlineStr">
        <is>
          <t>low</t>
        </is>
      </c>
      <c r="J17" t="inlineStr">
        <is>
          <t>long row of strokes; worn</t>
        </is>
      </c>
      <c r="K17" s="6" t="inlineStr"/>
      <c r="L17" s="6" t="inlineStr"/>
      <c r="M17" s="6" t="inlineStr"/>
    </row>
    <row r="18">
      <c r="A18" t="n">
        <v>17</v>
      </c>
      <c r="B18" t="inlineStr">
        <is>
          <t>XCVI</t>
        </is>
      </c>
      <c r="C18" t="inlineStr">
        <is>
          <t>507</t>
        </is>
      </c>
      <c r="D18" t="inlineStr">
        <is>
          <t>6</t>
        </is>
      </c>
      <c r="E18" t="inlineStr">
        <is>
          <t>no</t>
        </is>
      </c>
      <c r="F18" t="inlineStr">
        <is>
          <t>no</t>
        </is>
      </c>
      <c r="G18" t="inlineStr">
        <is>
          <t>no</t>
        </is>
      </c>
      <c r="H18" t="inlineStr">
        <is>
          <t>yes</t>
        </is>
      </c>
      <c r="I18" t="inlineStr">
        <is>
          <t>medium</t>
        </is>
      </c>
      <c r="J18" t="inlineStr">
        <is>
          <t>strokes, X, oval</t>
        </is>
      </c>
      <c r="K18" s="6" t="inlineStr"/>
      <c r="L18" s="6" t="inlineStr"/>
      <c r="M18" s="6" t="inlineStr"/>
    </row>
    <row r="19">
      <c r="A19" t="n">
        <v>18</v>
      </c>
      <c r="B19" t="inlineStr">
        <is>
          <t>XCVI</t>
        </is>
      </c>
      <c r="C19" t="inlineStr">
        <is>
          <t>515</t>
        </is>
      </c>
      <c r="D19" t="inlineStr">
        <is>
          <t>6</t>
        </is>
      </c>
      <c r="E19" t="inlineStr">
        <is>
          <t>no</t>
        </is>
      </c>
      <c r="F19" t="inlineStr">
        <is>
          <t>no</t>
        </is>
      </c>
      <c r="G19" t="inlineStr">
        <is>
          <t>no</t>
        </is>
      </c>
      <c r="H19" t="inlineStr">
        <is>
          <t>yes</t>
        </is>
      </c>
      <c r="I19" t="inlineStr">
        <is>
          <t>low</t>
        </is>
      </c>
      <c r="J19" t="inlineStr">
        <is>
          <t>worn; strokes and U signs</t>
        </is>
      </c>
      <c r="K19" s="6" t="inlineStr"/>
      <c r="L19" s="6" t="inlineStr"/>
      <c r="M19" s="6" t="inlineStr"/>
    </row>
    <row r="20">
      <c r="A20" t="n">
        <v>19</v>
      </c>
      <c r="B20" t="inlineStr">
        <is>
          <t>XCVI</t>
        </is>
      </c>
      <c r="C20" t="inlineStr">
        <is>
          <t>537</t>
        </is>
      </c>
      <c r="D20" t="inlineStr">
        <is>
          <t>7</t>
        </is>
      </c>
      <c r="E20" t="inlineStr">
        <is>
          <t>no</t>
        </is>
      </c>
      <c r="F20" t="inlineStr">
        <is>
          <t>no</t>
        </is>
      </c>
      <c r="G20" t="inlineStr">
        <is>
          <t>no</t>
        </is>
      </c>
      <c r="H20" t="inlineStr">
        <is>
          <t>no</t>
        </is>
      </c>
      <c r="I20" t="inlineStr">
        <is>
          <t>high</t>
        </is>
      </c>
      <c r="J20" t="inlineStr">
        <is>
          <t>X-in-oval signs, A-shape, ovals, U</t>
        </is>
      </c>
      <c r="K20" s="6" t="inlineStr"/>
      <c r="L20" s="6" t="inlineStr"/>
      <c r="M20" s="6" t="inlineStr"/>
    </row>
    <row r="21">
      <c r="A21" t="n">
        <v>20</v>
      </c>
      <c r="B21" t="inlineStr">
        <is>
          <t>XCVII</t>
        </is>
      </c>
      <c r="C21" t="inlineStr">
        <is>
          <t>544</t>
        </is>
      </c>
      <c r="D21" t="inlineStr">
        <is>
          <t>5</t>
        </is>
      </c>
      <c r="E21" t="inlineStr">
        <is>
          <t>likely</t>
        </is>
      </c>
      <c r="F21" t="inlineStr">
        <is>
          <t>no</t>
        </is>
      </c>
      <c r="G21" t="inlineStr">
        <is>
          <t>no</t>
        </is>
      </c>
      <c r="H21" t="inlineStr">
        <is>
          <t>yes</t>
        </is>
      </c>
      <c r="I21" t="inlineStr">
        <is>
          <t>high</t>
        </is>
      </c>
      <c r="J21" t="inlineStr">
        <is>
          <t>U signs and strokes</t>
        </is>
      </c>
      <c r="K21" s="6" t="inlineStr"/>
      <c r="L21" s="6" t="inlineStr"/>
      <c r="M21" s="6" t="inlineStr"/>
    </row>
    <row r="22">
      <c r="A22" t="n">
        <v>21</v>
      </c>
      <c r="B22" t="inlineStr">
        <is>
          <t>XCVII</t>
        </is>
      </c>
      <c r="C22" t="inlineStr">
        <is>
          <t>571</t>
        </is>
      </c>
      <c r="D22" t="inlineStr">
        <is>
          <t>5</t>
        </is>
      </c>
      <c r="E22" t="inlineStr">
        <is>
          <t>no</t>
        </is>
      </c>
      <c r="F22" t="inlineStr">
        <is>
          <t>no</t>
        </is>
      </c>
      <c r="G22" t="inlineStr">
        <is>
          <t>no</t>
        </is>
      </c>
      <c r="H22" t="inlineStr">
        <is>
          <t>yes</t>
        </is>
      </c>
      <c r="I22" t="inlineStr">
        <is>
          <t>medium</t>
        </is>
      </c>
      <c r="J22" t="inlineStr">
        <is>
          <t>grid, ovals, leaf</t>
        </is>
      </c>
      <c r="K22" s="6" t="inlineStr"/>
      <c r="L22" s="6" t="inlineStr"/>
      <c r="M22" s="6" t="inlineStr"/>
    </row>
    <row r="23">
      <c r="A23" t="n">
        <v>22</v>
      </c>
      <c r="B23" t="inlineStr">
        <is>
          <t>XCVII</t>
        </is>
      </c>
      <c r="C23" t="inlineStr">
        <is>
          <t>572</t>
        </is>
      </c>
      <c r="D23" t="inlineStr">
        <is>
          <t>6</t>
        </is>
      </c>
      <c r="E23" t="inlineStr">
        <is>
          <t>no</t>
        </is>
      </c>
      <c r="F23" t="inlineStr">
        <is>
          <t>no</t>
        </is>
      </c>
      <c r="G23" t="inlineStr">
        <is>
          <t>no</t>
        </is>
      </c>
      <c r="H23" t="inlineStr">
        <is>
          <t>yes</t>
        </is>
      </c>
      <c r="I23" t="inlineStr">
        <is>
          <t>medium</t>
        </is>
      </c>
      <c r="J23" t="inlineStr">
        <is>
          <t>strokes, circled cross, leaf</t>
        </is>
      </c>
      <c r="K23" s="6" t="inlineStr"/>
      <c r="L23" s="6" t="inlineStr"/>
      <c r="M23" s="6" t="inlineStr"/>
    </row>
    <row r="24">
      <c r="A24" t="n">
        <v>23</v>
      </c>
      <c r="B24" t="inlineStr">
        <is>
          <t>XCVII</t>
        </is>
      </c>
      <c r="C24" t="inlineStr">
        <is>
          <t>589</t>
        </is>
      </c>
      <c r="D24" t="inlineStr">
        <is>
          <t>5</t>
        </is>
      </c>
      <c r="E24" t="inlineStr">
        <is>
          <t>no</t>
        </is>
      </c>
      <c r="F24" t="inlineStr">
        <is>
          <t>no</t>
        </is>
      </c>
      <c r="G24" t="inlineStr">
        <is>
          <t>yes</t>
        </is>
      </c>
      <c r="H24" t="inlineStr">
        <is>
          <t>no</t>
        </is>
      </c>
      <c r="I24" t="inlineStr">
        <is>
          <t>high</t>
        </is>
      </c>
      <c r="J24" t="inlineStr">
        <is>
          <t>arrow-like sign, strokes, U, leaf</t>
        </is>
      </c>
      <c r="K24" s="6" t="inlineStr"/>
      <c r="L24" s="6" t="inlineStr"/>
      <c r="M24" s="6" t="inlineStr"/>
    </row>
    <row r="25">
      <c r="A25" t="n">
        <v>24</v>
      </c>
      <c r="B25" t="inlineStr">
        <is>
          <t>XCVIII</t>
        </is>
      </c>
      <c r="C25" t="inlineStr">
        <is>
          <t>627</t>
        </is>
      </c>
      <c r="D25" t="inlineStr">
        <is>
          <t>4</t>
        </is>
      </c>
      <c r="E25" t="inlineStr">
        <is>
          <t>no</t>
        </is>
      </c>
      <c r="F25" t="inlineStr">
        <is>
          <t>no</t>
        </is>
      </c>
      <c r="G25" t="inlineStr">
        <is>
          <t>no</t>
        </is>
      </c>
      <c r="H25" t="inlineStr">
        <is>
          <t>no</t>
        </is>
      </c>
      <c r="I25" t="inlineStr">
        <is>
          <t>low</t>
        </is>
      </c>
      <c r="J25" t="inlineStr">
        <is>
          <t>worn; X and strokes</t>
        </is>
      </c>
      <c r="K25" s="6" t="inlineStr"/>
      <c r="L25" s="6" t="inlineStr"/>
      <c r="M25" s="6" t="inlineStr"/>
    </row>
    <row r="26">
      <c r="A26" t="n">
        <v>25</v>
      </c>
      <c r="B26" t="inlineStr">
        <is>
          <t>XCIX</t>
        </is>
      </c>
      <c r="C26" t="inlineStr">
        <is>
          <t>648</t>
        </is>
      </c>
      <c r="D26" t="inlineStr">
        <is>
          <t>5</t>
        </is>
      </c>
      <c r="E26" t="inlineStr">
        <is>
          <t>no</t>
        </is>
      </c>
      <c r="F26" t="inlineStr">
        <is>
          <t>no</t>
        </is>
      </c>
      <c r="G26" t="inlineStr">
        <is>
          <t>no</t>
        </is>
      </c>
      <c r="H26" t="inlineStr">
        <is>
          <t>yes</t>
        </is>
      </c>
      <c r="I26" t="inlineStr">
        <is>
          <t>high</t>
        </is>
      </c>
      <c r="J26" t="inlineStr">
        <is>
          <t>grid sign forked stem strokes and heart-shape</t>
        </is>
      </c>
      <c r="K26" s="6" t="inlineStr"/>
      <c r="L26" s="6" t="inlineStr"/>
      <c r="M26" s="6" t="inlineStr"/>
    </row>
    <row r="27">
      <c r="A27" t="n">
        <v>26</v>
      </c>
      <c r="B27" t="inlineStr">
        <is>
          <t>XCIX</t>
        </is>
      </c>
      <c r="C27" t="inlineStr">
        <is>
          <t>655</t>
        </is>
      </c>
      <c r="D27" t="inlineStr">
        <is>
          <t>7</t>
        </is>
      </c>
      <c r="E27" t="inlineStr">
        <is>
          <t>no</t>
        </is>
      </c>
      <c r="F27" t="inlineStr">
        <is>
          <t>no</t>
        </is>
      </c>
      <c r="G27" t="inlineStr">
        <is>
          <t>no</t>
        </is>
      </c>
      <c r="H27" t="inlineStr">
        <is>
          <t>yes</t>
        </is>
      </c>
      <c r="I27" t="inlineStr">
        <is>
          <t>high</t>
        </is>
      </c>
      <c r="J27" t="inlineStr">
        <is>
          <t>grid sign strokes U A-shape and oval</t>
        </is>
      </c>
      <c r="K27" s="6" t="inlineStr"/>
      <c r="L27" s="6" t="inlineStr"/>
      <c r="M27" s="6" t="inlineStr"/>
    </row>
    <row r="28">
      <c r="A28" t="n">
        <v>27</v>
      </c>
      <c r="B28" t="inlineStr">
        <is>
          <t>XCIX</t>
        </is>
      </c>
      <c r="C28" t="inlineStr">
        <is>
          <t>657</t>
        </is>
      </c>
      <c r="D28" t="inlineStr">
        <is>
          <t>5</t>
        </is>
      </c>
      <c r="E28" t="inlineStr">
        <is>
          <t>no</t>
        </is>
      </c>
      <c r="F28" t="inlineStr">
        <is>
          <t>no</t>
        </is>
      </c>
      <c r="G28" t="inlineStr">
        <is>
          <t>no</t>
        </is>
      </c>
      <c r="H28" t="inlineStr">
        <is>
          <t>yes</t>
        </is>
      </c>
      <c r="I28" t="inlineStr">
        <is>
          <t>medium</t>
        </is>
      </c>
      <c r="J28" t="inlineStr">
        <is>
          <t>forked stem strokes and oval</t>
        </is>
      </c>
      <c r="K28" s="6" t="inlineStr"/>
      <c r="L28" s="6" t="inlineStr"/>
      <c r="M28" s="6" t="inlineStr"/>
    </row>
    <row r="29">
      <c r="A29" t="n">
        <v>28</v>
      </c>
      <c r="B29" t="inlineStr">
        <is>
          <t>XCIX</t>
        </is>
      </c>
      <c r="C29" t="inlineStr">
        <is>
          <t>659</t>
        </is>
      </c>
      <c r="D29" t="inlineStr">
        <is>
          <t>5</t>
        </is>
      </c>
      <c r="E29" t="inlineStr">
        <is>
          <t>no</t>
        </is>
      </c>
      <c r="F29" t="inlineStr">
        <is>
          <t>no</t>
        </is>
      </c>
      <c r="G29" t="inlineStr">
        <is>
          <t>no</t>
        </is>
      </c>
      <c r="H29" t="inlineStr">
        <is>
          <t>yes</t>
        </is>
      </c>
      <c r="I29" t="inlineStr">
        <is>
          <t>low</t>
        </is>
      </c>
      <c r="J29" t="inlineStr">
        <is>
          <t>fragment; strokes</t>
        </is>
      </c>
      <c r="K29" s="6" t="inlineStr"/>
      <c r="L29" s="6" t="inlineStr"/>
      <c r="M29" s="6" t="inlineStr"/>
    </row>
    <row r="30">
      <c r="A30" t="n">
        <v>29</v>
      </c>
      <c r="B30" t="inlineStr">
        <is>
          <t>XCIX</t>
        </is>
      </c>
      <c r="C30" t="inlineStr">
        <is>
          <t>660</t>
        </is>
      </c>
      <c r="D30" t="inlineStr">
        <is>
          <t>6</t>
        </is>
      </c>
      <c r="E30" t="inlineStr">
        <is>
          <t>no</t>
        </is>
      </c>
      <c r="F30" t="inlineStr">
        <is>
          <t>no</t>
        </is>
      </c>
      <c r="G30" t="inlineStr">
        <is>
          <t>no</t>
        </is>
      </c>
      <c r="H30" t="inlineStr">
        <is>
          <t>yes</t>
        </is>
      </c>
      <c r="I30" t="inlineStr">
        <is>
          <t>medium</t>
        </is>
      </c>
      <c r="J30" t="inlineStr">
        <is>
          <t>grid sign strokes and oval</t>
        </is>
      </c>
      <c r="K30" s="6" t="inlineStr"/>
      <c r="L30" s="6" t="inlineStr"/>
      <c r="M30" s="6" t="inlineStr"/>
    </row>
    <row r="31">
      <c r="A31" t="n">
        <v>30</v>
      </c>
      <c r="B31" t="inlineStr">
        <is>
          <t>XCIX</t>
        </is>
      </c>
      <c r="C31" t="inlineStr">
        <is>
          <t>681</t>
        </is>
      </c>
      <c r="D31" t="inlineStr">
        <is>
          <t>6</t>
        </is>
      </c>
      <c r="E31" t="inlineStr">
        <is>
          <t>no</t>
        </is>
      </c>
      <c r="F31" t="inlineStr">
        <is>
          <t>no</t>
        </is>
      </c>
      <c r="G31" t="inlineStr">
        <is>
          <t>no</t>
        </is>
      </c>
      <c r="H31" t="inlineStr">
        <is>
          <t>yes</t>
        </is>
      </c>
      <c r="I31" t="inlineStr">
        <is>
          <t>medium</t>
        </is>
      </c>
      <c r="J31" t="inlineStr">
        <is>
          <t>strokes and grid-like signs</t>
        </is>
      </c>
      <c r="K31" s="6" t="inlineStr"/>
      <c r="L31" s="6" t="inlineStr"/>
      <c r="M31" s="6" t="inlineStr"/>
    </row>
  </sheetData>
  <dataValidations count="1">
    <dataValidation sqref="K2 K3 K4 K5 K6 K7 K8 K9 K10 K11 K12 K13 K14 K15 K16 K17 K18 K19 K20 K21 K22 K23 K24 K25 K26 K27 K28 K29 K30 K3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2026-10-10T07:07:53Z</dcterms:created>
  <dcterms:modified xmlns:dcterms="http://purl.org/dc/terms/" xmlns:xsi="http://www.w3.org/2001/XMLSchema-instance" xsi:type="dcterms:W3CDTF">2026-10-10T07:07:53Z</dcterms:modified>
</cp:coreProperties>
</file>